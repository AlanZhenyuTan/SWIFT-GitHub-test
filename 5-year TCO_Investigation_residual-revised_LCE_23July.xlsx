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zt623_ic_ac_uk/Documents/Other documents/Project SWIFT/"/>
    </mc:Choice>
  </mc:AlternateContent>
  <xr:revisionPtr revIDLastSave="35" documentId="8_{AF22A684-0C23-451A-A31D-6AAECA3D935B}" xr6:coauthVersionLast="47" xr6:coauthVersionMax="47" xr10:uidLastSave="{1843FE22-F504-4CBA-9021-F6FBD4EA6A39}"/>
  <bookViews>
    <workbookView minimized="1" xWindow="29940" yWindow="1140" windowWidth="21600" windowHeight="11175" xr2:uid="{325A9C6A-64C6-49BF-9BF0-293C4BA07877}"/>
  </bookViews>
  <sheets>
    <sheet name="All-in-1-sheet" sheetId="38" r:id="rId1"/>
    <sheet name="BET-S(5)LCE" sheetId="11" r:id="rId2"/>
    <sheet name="BET-C(5)LCE" sheetId="10" r:id="rId3"/>
    <sheet name="Diesel(5)LCE" sheetId="9" r:id="rId4"/>
    <sheet name="Future Dynamic Input" sheetId="35" r:id="rId5"/>
  </sheets>
  <definedNames>
    <definedName name="_ftn1" localSheetId="0">'All-in-1-sheet'!#REF!</definedName>
    <definedName name="_ftn1" localSheetId="1">'BET-S(5)LCE'!#REF!</definedName>
    <definedName name="_ftn2" localSheetId="0">'All-in-1-sheet'!#REF!</definedName>
    <definedName name="_ftn2" localSheetId="1">'BET-S(5)LCE'!#REF!</definedName>
    <definedName name="_ftn3" localSheetId="0">'All-in-1-sheet'!#REF!</definedName>
    <definedName name="_ftn3" localSheetId="1">'BET-S(5)LCE'!#REF!</definedName>
    <definedName name="_ftnref1" localSheetId="0">'All-in-1-sheet'!$A$93</definedName>
    <definedName name="_ftnref1" localSheetId="1">'BET-S(5)LCE'!$A$94</definedName>
    <definedName name="_ftnref2" localSheetId="0">'All-in-1-sheet'!$A$72</definedName>
    <definedName name="_ftnref2" localSheetId="1">'BET-S(5)LCE'!$A$73</definedName>
    <definedName name="_ftnref3" localSheetId="0">'All-in-1-sheet'!#REF!</definedName>
    <definedName name="_ftnref3" localSheetId="1">'BET-S(5)LCE'!#REF!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5" i="38" l="1"/>
  <c r="C166" i="38"/>
  <c r="C167" i="38"/>
  <c r="C168" i="38"/>
  <c r="C164" i="38"/>
  <c r="C184" i="11"/>
  <c r="C185" i="11"/>
  <c r="C186" i="11"/>
  <c r="C187" i="11"/>
  <c r="C183" i="11"/>
  <c r="G110" i="38"/>
  <c r="C126" i="10"/>
  <c r="C86" i="11"/>
  <c r="C81" i="38"/>
  <c r="D85" i="11"/>
  <c r="C108" i="11"/>
  <c r="C129" i="9"/>
  <c r="C18" i="9"/>
  <c r="C21" i="10"/>
  <c r="C19" i="11"/>
  <c r="C117" i="10"/>
  <c r="C110" i="10"/>
  <c r="K50" i="38"/>
  <c r="C115" i="11"/>
  <c r="C60" i="9"/>
  <c r="C108" i="10"/>
  <c r="C35" i="11"/>
  <c r="C107" i="10"/>
  <c r="C114" i="11"/>
  <c r="C110" i="9"/>
  <c r="K21" i="38"/>
  <c r="G24" i="38"/>
  <c r="C22" i="38"/>
  <c r="C23" i="38" s="1"/>
  <c r="C36" i="9"/>
  <c r="C44" i="10"/>
  <c r="C52" i="10"/>
  <c r="C56" i="10"/>
  <c r="C30" i="10"/>
  <c r="C59" i="11"/>
  <c r="C55" i="11"/>
  <c r="C47" i="11"/>
  <c r="C75" i="38"/>
  <c r="K107" i="38"/>
  <c r="G107" i="38"/>
  <c r="K96" i="38"/>
  <c r="G96" i="38"/>
  <c r="G50" i="38"/>
  <c r="G51" i="38" s="1"/>
  <c r="K48" i="38"/>
  <c r="K60" i="38" s="1"/>
  <c r="G48" i="38"/>
  <c r="K45" i="38"/>
  <c r="K44" i="38"/>
  <c r="K161" i="38" s="1"/>
  <c r="G45" i="38"/>
  <c r="G44" i="38"/>
  <c r="G161" i="38" s="1"/>
  <c r="K42" i="38"/>
  <c r="K43" i="38" s="1"/>
  <c r="G37" i="38"/>
  <c r="G35" i="38"/>
  <c r="G29" i="38"/>
  <c r="G28" i="38"/>
  <c r="K17" i="38"/>
  <c r="K15" i="38"/>
  <c r="K16" i="38"/>
  <c r="K20" i="38" s="1"/>
  <c r="K14" i="38"/>
  <c r="K13" i="38"/>
  <c r="K12" i="38"/>
  <c r="G19" i="38"/>
  <c r="G20" i="38"/>
  <c r="G18" i="38"/>
  <c r="G17" i="38"/>
  <c r="G16" i="38"/>
  <c r="G15" i="38"/>
  <c r="G14" i="38"/>
  <c r="G12" i="38"/>
  <c r="G10" i="38"/>
  <c r="G13" i="38" s="1"/>
  <c r="G42" i="38"/>
  <c r="G43" i="38" s="1"/>
  <c r="K102" i="38"/>
  <c r="K101" i="38"/>
  <c r="K56" i="38"/>
  <c r="K19" i="38"/>
  <c r="K18" i="38"/>
  <c r="C171" i="9"/>
  <c r="C172" i="9"/>
  <c r="C170" i="9"/>
  <c r="C51" i="9"/>
  <c r="C52" i="9" s="1"/>
  <c r="C53" i="9" s="1"/>
  <c r="C54" i="9" s="1"/>
  <c r="C17" i="9"/>
  <c r="C16" i="9"/>
  <c r="C15" i="9"/>
  <c r="C186" i="38"/>
  <c r="C39" i="38" s="1"/>
  <c r="A171" i="38"/>
  <c r="A172" i="38" s="1"/>
  <c r="A173" i="38" s="1"/>
  <c r="A174" i="38" s="1"/>
  <c r="A175" i="38" s="1"/>
  <c r="C102" i="38"/>
  <c r="C101" i="38"/>
  <c r="C100" i="38"/>
  <c r="C99" i="38"/>
  <c r="C98" i="38"/>
  <c r="C93" i="38"/>
  <c r="C92" i="38"/>
  <c r="C85" i="38"/>
  <c r="C67" i="38"/>
  <c r="C158" i="38" s="1"/>
  <c r="C170" i="38" s="1"/>
  <c r="C55" i="38"/>
  <c r="C51" i="38"/>
  <c r="C36" i="38"/>
  <c r="C32" i="38"/>
  <c r="C21" i="38"/>
  <c r="C20" i="38"/>
  <c r="C19" i="38"/>
  <c r="C39" i="10"/>
  <c r="C103" i="11"/>
  <c r="C90" i="11"/>
  <c r="C16" i="11"/>
  <c r="C17" i="11"/>
  <c r="C18" i="11"/>
  <c r="C205" i="11"/>
  <c r="C43" i="11" s="1"/>
  <c r="A190" i="11"/>
  <c r="A191" i="11" s="1"/>
  <c r="A192" i="11" s="1"/>
  <c r="A193" i="11" s="1"/>
  <c r="C98" i="11"/>
  <c r="C97" i="11"/>
  <c r="C128" i="11" l="1"/>
  <c r="C124" i="11"/>
  <c r="C61" i="9"/>
  <c r="C62" i="9"/>
  <c r="C63" i="9"/>
  <c r="C64" i="9"/>
  <c r="C55" i="9"/>
  <c r="C116" i="10"/>
  <c r="C118" i="10" s="1"/>
  <c r="C123" i="11"/>
  <c r="C116" i="11"/>
  <c r="C47" i="10"/>
  <c r="C61" i="10"/>
  <c r="C50" i="11"/>
  <c r="C64" i="11"/>
  <c r="C117" i="11" s="1"/>
  <c r="C122" i="9"/>
  <c r="K100" i="38"/>
  <c r="K99" i="38"/>
  <c r="K98" i="38"/>
  <c r="G46" i="38"/>
  <c r="K109" i="38"/>
  <c r="C53" i="10"/>
  <c r="C57" i="10"/>
  <c r="C60" i="11"/>
  <c r="C56" i="11"/>
  <c r="K76" i="38"/>
  <c r="G39" i="38"/>
  <c r="K37" i="38"/>
  <c r="K110" i="38" s="1"/>
  <c r="C38" i="38"/>
  <c r="C110" i="38" s="1"/>
  <c r="G36" i="38"/>
  <c r="G38" i="38" s="1"/>
  <c r="G102" i="38"/>
  <c r="G101" i="38"/>
  <c r="G100" i="38"/>
  <c r="G98" i="38"/>
  <c r="G99" i="38"/>
  <c r="G55" i="38"/>
  <c r="G60" i="38" s="1"/>
  <c r="G76" i="38" s="1"/>
  <c r="G30" i="38"/>
  <c r="K22" i="38"/>
  <c r="K108" i="38" s="1"/>
  <c r="K61" i="38"/>
  <c r="K51" i="38" s="1"/>
  <c r="K77" i="38" s="1"/>
  <c r="K57" i="38"/>
  <c r="C108" i="38"/>
  <c r="G56" i="38"/>
  <c r="G61" i="38" s="1"/>
  <c r="G77" i="38" s="1"/>
  <c r="G52" i="38"/>
  <c r="G23" i="38"/>
  <c r="G22" i="38"/>
  <c r="G21" i="38"/>
  <c r="C86" i="38"/>
  <c r="C118" i="38"/>
  <c r="C80" i="38"/>
  <c r="C116" i="38" s="1"/>
  <c r="C79" i="38"/>
  <c r="C115" i="38" s="1"/>
  <c r="C56" i="38"/>
  <c r="C52" i="38"/>
  <c r="C43" i="38"/>
  <c r="C91" i="11"/>
  <c r="A194" i="11"/>
  <c r="C125" i="11" l="1"/>
  <c r="C65" i="9"/>
  <c r="C56" i="9"/>
  <c r="C57" i="9"/>
  <c r="C66" i="9"/>
  <c r="C65" i="11"/>
  <c r="C118" i="11" s="1"/>
  <c r="C62" i="10"/>
  <c r="C111" i="10" s="1"/>
  <c r="G112" i="38"/>
  <c r="G109" i="38"/>
  <c r="C109" i="38"/>
  <c r="C46" i="38"/>
  <c r="C61" i="38"/>
  <c r="C160" i="38" s="1"/>
  <c r="C60" i="38"/>
  <c r="C159" i="38" s="1"/>
  <c r="C62" i="38"/>
  <c r="C161" i="38" s="1"/>
  <c r="C54" i="10"/>
  <c r="C58" i="10"/>
  <c r="C57" i="11"/>
  <c r="C61" i="11"/>
  <c r="K126" i="38"/>
  <c r="K125" i="38"/>
  <c r="K62" i="38"/>
  <c r="K52" i="38" s="1"/>
  <c r="K78" i="38" s="1"/>
  <c r="K58" i="38"/>
  <c r="K123" i="38"/>
  <c r="K124" i="38"/>
  <c r="G25" i="38"/>
  <c r="G108" i="38" s="1"/>
  <c r="G126" i="38"/>
  <c r="G125" i="38"/>
  <c r="G57" i="38"/>
  <c r="G62" i="38" s="1"/>
  <c r="G78" i="38" s="1"/>
  <c r="G53" i="38"/>
  <c r="G124" i="38"/>
  <c r="G123" i="38"/>
  <c r="C82" i="38"/>
  <c r="C83" i="38" s="1"/>
  <c r="C117" i="38"/>
  <c r="C119" i="38" s="1"/>
  <c r="C53" i="38"/>
  <c r="C57" i="38"/>
  <c r="C67" i="9" l="1"/>
  <c r="C58" i="9"/>
  <c r="C63" i="10"/>
  <c r="C112" i="10" s="1"/>
  <c r="C66" i="11"/>
  <c r="C119" i="11" s="1"/>
  <c r="G111" i="38"/>
  <c r="C55" i="10"/>
  <c r="C59" i="10"/>
  <c r="C58" i="11"/>
  <c r="C62" i="11"/>
  <c r="C67" i="11" s="1"/>
  <c r="C120" i="11" s="1"/>
  <c r="K82" i="38"/>
  <c r="K117" i="38" s="1"/>
  <c r="K87" i="38"/>
  <c r="K63" i="38"/>
  <c r="K53" i="38" s="1"/>
  <c r="K79" i="38" s="1"/>
  <c r="K59" i="38"/>
  <c r="K127" i="38"/>
  <c r="K128" i="38"/>
  <c r="K81" i="38"/>
  <c r="K116" i="38" s="1"/>
  <c r="K86" i="38"/>
  <c r="G82" i="38"/>
  <c r="G117" i="38" s="1"/>
  <c r="G87" i="38"/>
  <c r="G58" i="38"/>
  <c r="G63" i="38" s="1"/>
  <c r="G79" i="38" s="1"/>
  <c r="G54" i="38"/>
  <c r="G128" i="38"/>
  <c r="G127" i="38"/>
  <c r="G81" i="38"/>
  <c r="G116" i="38" s="1"/>
  <c r="G86" i="38"/>
  <c r="C123" i="38"/>
  <c r="C54" i="38"/>
  <c r="C58" i="38"/>
  <c r="C63" i="38" s="1"/>
  <c r="C121" i="38"/>
  <c r="C122" i="38"/>
  <c r="C88" i="38"/>
  <c r="C120" i="38" s="1"/>
  <c r="C32" i="11"/>
  <c r="C68" i="9" l="1"/>
  <c r="C59" i="9"/>
  <c r="C64" i="10"/>
  <c r="C113" i="10" s="1"/>
  <c r="C162" i="38"/>
  <c r="C60" i="10"/>
  <c r="C63" i="11"/>
  <c r="C68" i="11" s="1"/>
  <c r="C121" i="11" s="1"/>
  <c r="C122" i="11" s="1"/>
  <c r="K129" i="38"/>
  <c r="K130" i="38"/>
  <c r="K64" i="38"/>
  <c r="K54" i="38" s="1"/>
  <c r="K80" i="38" s="1"/>
  <c r="K83" i="38"/>
  <c r="K118" i="38" s="1"/>
  <c r="K88" i="38"/>
  <c r="G59" i="38"/>
  <c r="G64" i="38" s="1"/>
  <c r="G80" i="38" s="1"/>
  <c r="G129" i="38"/>
  <c r="G130" i="38"/>
  <c r="G83" i="38"/>
  <c r="G118" i="38" s="1"/>
  <c r="G88" i="38"/>
  <c r="C172" i="38"/>
  <c r="C173" i="38"/>
  <c r="C171" i="38"/>
  <c r="C177" i="38" s="1"/>
  <c r="C124" i="38"/>
  <c r="C59" i="38"/>
  <c r="C64" i="38" s="1"/>
  <c r="C174" i="38" l="1"/>
  <c r="C126" i="11"/>
  <c r="C127" i="11" s="1"/>
  <c r="C69" i="9"/>
  <c r="C65" i="10"/>
  <c r="C114" i="10" s="1"/>
  <c r="C115" i="10" s="1"/>
  <c r="C163" i="38"/>
  <c r="K84" i="38"/>
  <c r="K119" i="38" s="1"/>
  <c r="K89" i="38"/>
  <c r="K132" i="38"/>
  <c r="K131" i="38"/>
  <c r="G131" i="38"/>
  <c r="G132" i="38"/>
  <c r="G89" i="38"/>
  <c r="G84" i="38"/>
  <c r="G119" i="38" s="1"/>
  <c r="C178" i="38"/>
  <c r="C179" i="38" s="1"/>
  <c r="C125" i="38"/>
  <c r="C180" i="38" l="1"/>
  <c r="C129" i="11"/>
  <c r="C130" i="11" s="1"/>
  <c r="K133" i="38"/>
  <c r="G133" i="38"/>
  <c r="K85" i="38"/>
  <c r="K120" i="38" s="1"/>
  <c r="K121" i="38" s="1"/>
  <c r="K136" i="38" s="1"/>
  <c r="K138" i="38" s="1"/>
  <c r="K90" i="38"/>
  <c r="G85" i="38"/>
  <c r="G120" i="38" s="1"/>
  <c r="G121" i="38" s="1"/>
  <c r="G90" i="38"/>
  <c r="C126" i="38"/>
  <c r="C175" i="38"/>
  <c r="G136" i="38" l="1"/>
  <c r="G138" i="38" s="1"/>
  <c r="K137" i="38"/>
  <c r="C181" i="38"/>
  <c r="B176" i="38"/>
  <c r="C127" i="38"/>
  <c r="C136" i="38" s="1"/>
  <c r="C138" i="38" s="1"/>
  <c r="C152" i="38" l="1"/>
  <c r="G137" i="38"/>
  <c r="C153" i="38" s="1"/>
  <c r="C147" i="38"/>
  <c r="C142" i="38"/>
  <c r="C154" i="38"/>
  <c r="C137" i="38"/>
  <c r="K152" i="38" l="1"/>
  <c r="G152" i="38"/>
  <c r="C148" i="38"/>
  <c r="C143" i="38"/>
  <c r="C149" i="38"/>
  <c r="C144" i="38"/>
  <c r="G153" i="38"/>
  <c r="K153" i="38"/>
  <c r="G154" i="38"/>
  <c r="K154" i="38"/>
  <c r="G47" i="11" l="1"/>
  <c r="G49" i="11" s="1"/>
  <c r="G48" i="11" l="1"/>
  <c r="D141" i="9" l="1"/>
  <c r="E141" i="9" s="1"/>
  <c r="C10" i="10"/>
  <c r="D142" i="9"/>
  <c r="E142" i="9" s="1"/>
  <c r="C19" i="10" l="1"/>
  <c r="C20" i="10"/>
  <c r="C18" i="10"/>
  <c r="C40" i="11" l="1"/>
  <c r="C107" i="11"/>
  <c r="C106" i="11"/>
  <c r="C105" i="11"/>
  <c r="C104" i="11"/>
  <c r="C80" i="11"/>
  <c r="C146" i="11"/>
  <c r="C97" i="10"/>
  <c r="C98" i="10"/>
  <c r="C99" i="10"/>
  <c r="C100" i="10"/>
  <c r="C101" i="10"/>
  <c r="C175" i="10"/>
  <c r="C106" i="9"/>
  <c r="C105" i="9"/>
  <c r="C104" i="9"/>
  <c r="C103" i="9"/>
  <c r="C102" i="9"/>
  <c r="C178" i="9"/>
  <c r="C28" i="9" s="1"/>
  <c r="C130" i="9" l="1"/>
  <c r="C19" i="9"/>
  <c r="C128" i="9" s="1"/>
  <c r="C143" i="11"/>
  <c r="C128" i="10"/>
  <c r="C40" i="10"/>
  <c r="C22" i="10"/>
  <c r="C135" i="11"/>
  <c r="C20" i="11"/>
  <c r="C134" i="11" s="1"/>
  <c r="C84" i="11"/>
  <c r="C139" i="11" s="1"/>
  <c r="G139" i="11" s="1"/>
  <c r="C85" i="11"/>
  <c r="C140" i="11" s="1"/>
  <c r="G140" i="11" s="1"/>
  <c r="C72" i="11"/>
  <c r="C177" i="11" s="1"/>
  <c r="C147" i="11"/>
  <c r="C42" i="11"/>
  <c r="C136" i="11" s="1"/>
  <c r="E141" i="11"/>
  <c r="C141" i="11"/>
  <c r="G141" i="11" s="1"/>
  <c r="D141" i="11"/>
  <c r="C125" i="10"/>
  <c r="C33" i="9"/>
  <c r="C45" i="9" l="1"/>
  <c r="C116" i="9" s="1"/>
  <c r="C46" i="9"/>
  <c r="C117" i="9" s="1"/>
  <c r="C47" i="9"/>
  <c r="C118" i="9" s="1"/>
  <c r="C48" i="9"/>
  <c r="C119" i="9" s="1"/>
  <c r="C49" i="9"/>
  <c r="C120" i="9" s="1"/>
  <c r="C124" i="10"/>
  <c r="G143" i="11"/>
  <c r="C40" i="9"/>
  <c r="C111" i="9" s="1"/>
  <c r="C41" i="9"/>
  <c r="C112" i="9" s="1"/>
  <c r="C42" i="9"/>
  <c r="C113" i="9" s="1"/>
  <c r="C93" i="11"/>
  <c r="C145" i="11" s="1"/>
  <c r="C87" i="11"/>
  <c r="C142" i="11"/>
  <c r="C189" i="11"/>
  <c r="C148" i="11"/>
  <c r="C109" i="10" l="1"/>
  <c r="C119" i="10" s="1"/>
  <c r="C120" i="10" s="1"/>
  <c r="G145" i="11"/>
  <c r="C43" i="9"/>
  <c r="C114" i="9" s="1"/>
  <c r="C142" i="9"/>
  <c r="C146" i="9"/>
  <c r="C144" i="9"/>
  <c r="C145" i="9"/>
  <c r="C143" i="9"/>
  <c r="C141" i="9"/>
  <c r="C82" i="10"/>
  <c r="C146" i="10"/>
  <c r="C81" i="10"/>
  <c r="C80" i="10"/>
  <c r="C142" i="10"/>
  <c r="C79" i="10"/>
  <c r="C140" i="10"/>
  <c r="C78" i="10"/>
  <c r="C147" i="10"/>
  <c r="C148" i="10"/>
  <c r="C145" i="10"/>
  <c r="C143" i="10"/>
  <c r="C144" i="10"/>
  <c r="C141" i="10"/>
  <c r="C139" i="10"/>
  <c r="C88" i="11"/>
  <c r="D87" i="11"/>
  <c r="C144" i="11"/>
  <c r="G142" i="11"/>
  <c r="G146" i="11" s="1"/>
  <c r="C179" i="11"/>
  <c r="C180" i="11"/>
  <c r="C178" i="11"/>
  <c r="C190" i="11" s="1"/>
  <c r="C83" i="9"/>
  <c r="C93" i="9" s="1"/>
  <c r="C127" i="10"/>
  <c r="C85" i="9"/>
  <c r="C90" i="9" s="1"/>
  <c r="C136" i="9" s="1"/>
  <c r="C149" i="11"/>
  <c r="C84" i="9"/>
  <c r="C94" i="9" s="1"/>
  <c r="C44" i="9"/>
  <c r="C115" i="9" s="1"/>
  <c r="C121" i="9" l="1"/>
  <c r="C123" i="9" s="1"/>
  <c r="C124" i="9" s="1"/>
  <c r="C148" i="9"/>
  <c r="C147" i="9"/>
  <c r="C86" i="9"/>
  <c r="C149" i="9"/>
  <c r="C150" i="9"/>
  <c r="C86" i="10"/>
  <c r="C135" i="10" s="1"/>
  <c r="C91" i="10"/>
  <c r="C84" i="10"/>
  <c r="C133" i="10" s="1"/>
  <c r="C89" i="10"/>
  <c r="C83" i="10"/>
  <c r="C132" i="10" s="1"/>
  <c r="C88" i="10"/>
  <c r="C90" i="10"/>
  <c r="C85" i="10"/>
  <c r="C134" i="10" s="1"/>
  <c r="C92" i="10"/>
  <c r="C87" i="10"/>
  <c r="C136" i="10" s="1"/>
  <c r="C196" i="11"/>
  <c r="C192" i="11"/>
  <c r="C191" i="11"/>
  <c r="C181" i="11"/>
  <c r="C88" i="9"/>
  <c r="C134" i="9" s="1"/>
  <c r="C95" i="9"/>
  <c r="C150" i="11"/>
  <c r="C151" i="11" s="1"/>
  <c r="C152" i="11" s="1"/>
  <c r="C89" i="9"/>
  <c r="C135" i="9" s="1"/>
  <c r="C149" i="10"/>
  <c r="C87" i="9"/>
  <c r="C91" i="9" l="1"/>
  <c r="C137" i="9" s="1"/>
  <c r="C96" i="9"/>
  <c r="C197" i="11"/>
  <c r="C198" i="11" s="1"/>
  <c r="C193" i="11"/>
  <c r="C182" i="11"/>
  <c r="C137" i="10"/>
  <c r="C152" i="10" s="1"/>
  <c r="C151" i="9"/>
  <c r="C92" i="9"/>
  <c r="C97" i="9"/>
  <c r="G147" i="38" l="1"/>
  <c r="K147" i="38"/>
  <c r="C138" i="9"/>
  <c r="C139" i="9" s="1"/>
  <c r="C154" i="9" s="1"/>
  <c r="C194" i="11"/>
  <c r="B195" i="11" s="1"/>
  <c r="C199" i="11"/>
  <c r="G142" i="38" l="1"/>
  <c r="K142" i="38"/>
  <c r="C200" i="11"/>
  <c r="C155" i="11"/>
  <c r="C155" i="9"/>
  <c r="C156" i="9"/>
  <c r="C153" i="10"/>
  <c r="C154" i="10"/>
  <c r="G143" i="38" l="1"/>
  <c r="K143" i="38"/>
  <c r="G144" i="38"/>
  <c r="K144" i="38"/>
  <c r="G148" i="38"/>
  <c r="K148" i="38"/>
  <c r="G149" i="38"/>
  <c r="K149" i="38"/>
  <c r="C161" i="11"/>
  <c r="C165" i="9" s="1"/>
  <c r="C166" i="11"/>
  <c r="C160" i="9" s="1"/>
  <c r="C157" i="11"/>
  <c r="C156" i="11"/>
  <c r="C163" i="11" l="1"/>
  <c r="C167" i="9" s="1"/>
  <c r="C168" i="11"/>
  <c r="C162" i="9" s="1"/>
  <c r="C162" i="11"/>
  <c r="C167" i="11"/>
  <c r="C161" i="9" s="1"/>
  <c r="C157" i="10"/>
  <c r="C162" i="10"/>
  <c r="C163" i="10" l="1"/>
  <c r="C166" i="9"/>
  <c r="C164" i="10"/>
  <c r="C158" i="10"/>
  <c r="C159" i="10"/>
</calcChain>
</file>

<file path=xl/sharedStrings.xml><?xml version="1.0" encoding="utf-8"?>
<sst xmlns="http://schemas.openxmlformats.org/spreadsheetml/2006/main" count="1876" uniqueCount="490">
  <si>
    <t>Assumptions</t>
  </si>
  <si>
    <t>Parameter</t>
  </si>
  <si>
    <t>Units</t>
  </si>
  <si>
    <t>Source</t>
  </si>
  <si>
    <t>Battery specifications</t>
  </si>
  <si>
    <t>kWh</t>
  </si>
  <si>
    <t>CATL provided specification</t>
  </si>
  <si>
    <t>£/kWh</t>
  </si>
  <si>
    <t>CATL provided quote</t>
  </si>
  <si>
    <t>Aegis management assumption</t>
  </si>
  <si>
    <t>Battery lifetime</t>
  </si>
  <si>
    <t>years</t>
  </si>
  <si>
    <t>CATL management assumption</t>
  </si>
  <si>
    <t>Truck specifications</t>
  </si>
  <si>
    <t>£</t>
  </si>
  <si>
    <t>to align with Octopus numbers</t>
  </si>
  <si>
    <t>Glider lifetime</t>
  </si>
  <si>
    <t>based on "million mile" warranty claims in market 1 mile = c1.6 km =&gt; 15 years</t>
  </si>
  <si>
    <t>Driver (personnel) salaries</t>
  </si>
  <si>
    <t>£/year</t>
  </si>
  <si>
    <t>mid point of £30k to £40k 'most common' salary range</t>
  </si>
  <si>
    <t>Annual service cost</t>
  </si>
  <si>
    <t>aligned to Octopus model of £400 per month</t>
  </si>
  <si>
    <t>km</t>
  </si>
  <si>
    <t>derived in model, but used as starting basis here</t>
  </si>
  <si>
    <t>Operational days per year</t>
  </si>
  <si>
    <t>days</t>
  </si>
  <si>
    <t>80% utilisation rate of trucks on days in the year basis</t>
  </si>
  <si>
    <t>Swaps per day</t>
  </si>
  <si>
    <t>swaps/day</t>
  </si>
  <si>
    <t>KWh/km</t>
  </si>
  <si>
    <t>Aegis model calculation</t>
  </si>
  <si>
    <t>Station specifications</t>
  </si>
  <si>
    <t>Station CAPEX</t>
  </si>
  <si>
    <t>Site CAPEX</t>
  </si>
  <si>
    <t>Includes civils, construction &amp; comissioning cost</t>
  </si>
  <si>
    <t>Station lifetime</t>
  </si>
  <si>
    <t>Max station service capacity</t>
  </si>
  <si>
    <t>trucks/day</t>
  </si>
  <si>
    <t>For standard station, limited by battery charging time, swap time, and holding capacity</t>
  </si>
  <si>
    <t>Expected station utilisation</t>
  </si>
  <si>
    <t>As a percentage of max eHGVs served</t>
  </si>
  <si>
    <t>Expected station service demand</t>
  </si>
  <si>
    <t>Octopus claim for 'giant station 1' they need 100 vehicles to breakeven, which checks out with our model (102)</t>
  </si>
  <si>
    <t>Peak daytime price (Octopus claim top-end)</t>
  </si>
  <si>
    <t>Off-peak overnight price (Octopus can do £0 for consumer)</t>
  </si>
  <si>
    <t>7 hour window between 11pm and 8am (e.g. 12am to 7am) depending on energy retailer</t>
  </si>
  <si>
    <t>Target electricity margin</t>
  </si>
  <si>
    <t>What Aegis wants to make on energy service offering</t>
  </si>
  <si>
    <t>Calculations</t>
  </si>
  <si>
    <t>Unit</t>
  </si>
  <si>
    <t>£/truck</t>
  </si>
  <si>
    <t>TCO per year per truck</t>
  </si>
  <si>
    <t>£/year/truck</t>
  </si>
  <si>
    <t>TCO per km</t>
  </si>
  <si>
    <t>£/km</t>
  </si>
  <si>
    <t>Electric truck CAPEX</t>
  </si>
  <si>
    <t>Based on Rogers's (MAN Trucks) quotes across a range of vehicle sizes</t>
  </si>
  <si>
    <t>Truck lifetime</t>
  </si>
  <si>
    <t>pegged to battery life, which is extended due to less battery cycling overall</t>
  </si>
  <si>
    <t>Truck operations</t>
  </si>
  <si>
    <t>Charger CAPEX</t>
  </si>
  <si>
    <t>Charger lifetime</t>
  </si>
  <si>
    <t>Planned obselesence in line with Truck upgrades</t>
  </si>
  <si>
    <t>Site lifetime</t>
  </si>
  <si>
    <t>Assume long-term planning for on-depot works</t>
  </si>
  <si>
    <t>Charging operations</t>
  </si>
  <si>
    <t>Expected fleet size</t>
  </si>
  <si>
    <t>trucks</t>
  </si>
  <si>
    <t>Use same number as expected utilisation rate from swapping model</t>
  </si>
  <si>
    <t>based on classic 80:20 split depot:public</t>
  </si>
  <si>
    <t>Assume on-depot infrastructure if fully-specificed to handle 100% capacity simultaneously</t>
  </si>
  <si>
    <t>Flat rate price Aegis get from Octopus currently</t>
  </si>
  <si>
    <t>Assume public hub infrastructure if fully-specificed to handle 100% capacity simultaneously</t>
  </si>
  <si>
    <t>What Aegis will currently charge for the best deal</t>
  </si>
  <si>
    <t>l/km</t>
  </si>
  <si>
    <t>l</t>
  </si>
  <si>
    <t>Bunker CAPEX</t>
  </si>
  <si>
    <t>£/l</t>
  </si>
  <si>
    <t>Bunker lifetime</t>
  </si>
  <si>
    <t>l/day</t>
  </si>
  <si>
    <t>wholesale diesel price</t>
  </si>
  <si>
    <t>Battery pack capacity</t>
  </si>
  <si>
    <t>kWh/year</t>
  </si>
  <si>
    <t>Depot charging specifications</t>
  </si>
  <si>
    <t>assumed same battery technology (CATL) as used in battery swapping truck</t>
  </si>
  <si>
    <t>Done per kWh rather than per charger, due to range of depot requirements</t>
  </si>
  <si>
    <t>Public hub diesel price</t>
  </si>
  <si>
    <t>Refuelling operations</t>
  </si>
  <si>
    <t>On-depot specifications</t>
  </si>
  <si>
    <t>What the market rate of diesel currently is (excl. VAT)</t>
  </si>
  <si>
    <t>Current Bank of England base rate + 3.5%, in line with infrastructure market ROCE rate</t>
  </si>
  <si>
    <t>Swapping fee (flat rate)</t>
    <phoneticPr fontId="7" type="noConversion"/>
  </si>
  <si>
    <t>Total station CAPEX includes swapping station hardware and NRE to make fit for UK market</t>
    <phoneticPr fontId="7" type="noConversion"/>
  </si>
  <si>
    <t>Required depot charging ROCE</t>
    <phoneticPr fontId="7" type="noConversion"/>
  </si>
  <si>
    <t>TCO per truck</t>
    <phoneticPr fontId="7" type="noConversion"/>
  </si>
  <si>
    <t>Daily truck energy use in the first year</t>
  </si>
  <si>
    <t>Daily truck energy use in the second year</t>
  </si>
  <si>
    <t>Daily truck energy use in the third year</t>
  </si>
  <si>
    <t>Daily truck energy use in the fourth year</t>
  </si>
  <si>
    <t>Daily truck energy use in the fifth year</t>
  </si>
  <si>
    <t>assumed energy efficiency decreases over time</t>
  </si>
  <si>
    <t>Daily diesel use in the first year</t>
  </si>
  <si>
    <t>Daily diesel use in the second year</t>
  </si>
  <si>
    <t>Daily diesel use in the third year</t>
  </si>
  <si>
    <t>Daily diesel use in the fourth year</t>
  </si>
  <si>
    <t>Daily diesel use in the fifth year</t>
  </si>
  <si>
    <t>Expected diesel requirement in the second year</t>
  </si>
  <si>
    <t>Expected diesel requirement in the third year</t>
  </si>
  <si>
    <t>Expected diesel requirement in the fourth year</t>
  </si>
  <si>
    <t>Expected diesel requirement in the fifth year</t>
  </si>
  <si>
    <t>Annual on-depot demand in the secodn year</t>
  </si>
  <si>
    <t>Annual public hub demand in the second year</t>
  </si>
  <si>
    <t>Annual public hub demand in the fifth year</t>
  </si>
  <si>
    <t>BET-S (Hub Only)</t>
  </si>
  <si>
    <t>Public Available Value</t>
  </si>
  <si>
    <t>Notes from Aegis</t>
  </si>
  <si>
    <t>Time duration considered of TCO</t>
  </si>
  <si>
    <t>-</t>
    <phoneticPr fontId="7" type="noConversion"/>
  </si>
  <si>
    <t xml:space="preserve">Median hourly pay for HGV drivers </t>
    <phoneticPr fontId="7" type="noConversion"/>
  </si>
  <si>
    <t>Worked hours per week</t>
    <phoneticPr fontId="7" type="noConversion"/>
  </si>
  <si>
    <t>hour</t>
    <phoneticPr fontId="7" type="noConversion"/>
  </si>
  <si>
    <t>Personnel expenditure</t>
    <phoneticPr fontId="7" type="noConversion"/>
  </si>
  <si>
    <t>Notes for public available data</t>
    <phoneticPr fontId="7" type="noConversion"/>
  </si>
  <si>
    <t>Daily truck energy use</t>
    <phoneticPr fontId="7" type="noConversion"/>
  </si>
  <si>
    <t>Total battery capacity</t>
    <phoneticPr fontId="7" type="noConversion"/>
  </si>
  <si>
    <t>kWh</t>
    <phoneticPr fontId="7" type="noConversion"/>
  </si>
  <si>
    <t>Glider residual value (EOL) ratio</t>
    <phoneticPr fontId="7" type="noConversion"/>
  </si>
  <si>
    <t>Initial battery price</t>
    <phoneticPr fontId="7" type="noConversion"/>
  </si>
  <si>
    <t>£</t>
    <phoneticPr fontId="7" type="noConversion"/>
  </si>
  <si>
    <t>On-depot energy costs in the first year</t>
    <phoneticPr fontId="7" type="noConversion"/>
  </si>
  <si>
    <t>public hub energy costs in the first year</t>
    <phoneticPr fontId="7" type="noConversion"/>
  </si>
  <si>
    <t>On-depot energy costs in the fifth year</t>
    <phoneticPr fontId="7" type="noConversion"/>
  </si>
  <si>
    <t>public hub energy costs in the fifth year</t>
    <phoneticPr fontId="7" type="noConversion"/>
  </si>
  <si>
    <t>On-depot energy costs in the second year</t>
    <phoneticPr fontId="7" type="noConversion"/>
  </si>
  <si>
    <t>public hub energy costs in the second year</t>
    <phoneticPr fontId="7" type="noConversion"/>
  </si>
  <si>
    <t>On-depot energy costs in the third year</t>
    <phoneticPr fontId="7" type="noConversion"/>
  </si>
  <si>
    <t>public hub energy costs in the third year</t>
    <phoneticPr fontId="7" type="noConversion"/>
  </si>
  <si>
    <t>On-depot energy costs in the fourth year</t>
    <phoneticPr fontId="7" type="noConversion"/>
  </si>
  <si>
    <t>public hub energy costs in the fourth year</t>
    <phoneticPr fontId="7" type="noConversion"/>
  </si>
  <si>
    <t>TCO per year per truck</t>
    <phoneticPr fontId="7" type="noConversion"/>
  </si>
  <si>
    <t>Comparison</t>
    <phoneticPr fontId="7" type="noConversion"/>
  </si>
  <si>
    <t>BET-S - BET-C</t>
    <phoneticPr fontId="7" type="noConversion"/>
  </si>
  <si>
    <t>BET-S - ICET</t>
    <phoneticPr fontId="7" type="noConversion"/>
  </si>
  <si>
    <t>£/truck</t>
    <phoneticPr fontId="7" type="noConversion"/>
  </si>
  <si>
    <t>kWh/km</t>
    <phoneticPr fontId="7" type="noConversion"/>
  </si>
  <si>
    <t>Year 1</t>
    <phoneticPr fontId="7" type="noConversion"/>
  </si>
  <si>
    <t>Year 2</t>
    <phoneticPr fontId="7" type="noConversion"/>
  </si>
  <si>
    <t>Year 3</t>
  </si>
  <si>
    <t>Year 4</t>
  </si>
  <si>
    <t>Year 5</t>
  </si>
  <si>
    <t>Discounted Rate</t>
    <phoneticPr fontId="7" type="noConversion"/>
  </si>
  <si>
    <t>Discounted Factors</t>
    <phoneticPr fontId="7" type="noConversion"/>
  </si>
  <si>
    <t>Discounted Factor:</t>
    <phoneticPr fontId="7" type="noConversion"/>
  </si>
  <si>
    <t>Daily unladen distance driven</t>
    <phoneticPr fontId="7" type="noConversion"/>
  </si>
  <si>
    <t>The ratio of full-loaded and unladen driven distance is 7:3 in the UK</t>
    <phoneticPr fontId="7" type="noConversion"/>
  </si>
  <si>
    <t>Battery energy intensity - Full Loaded</t>
    <phoneticPr fontId="7" type="noConversion"/>
  </si>
  <si>
    <t>Battery energy intensity - Unladen</t>
    <phoneticPr fontId="7" type="noConversion"/>
  </si>
  <si>
    <t>Truck fuel economy in the first year -Full Loaded</t>
    <phoneticPr fontId="7" type="noConversion"/>
  </si>
  <si>
    <t>Truck fuel economy in the first year -Unladen</t>
    <phoneticPr fontId="7" type="noConversion"/>
  </si>
  <si>
    <t>Truck fuel economy in the second year -Full Loaded</t>
    <phoneticPr fontId="7" type="noConversion"/>
  </si>
  <si>
    <t>Truck fuel economy in the third year -Full Loaded</t>
    <phoneticPr fontId="7" type="noConversion"/>
  </si>
  <si>
    <t>Truck fuel economy in the fourth year -Full Loaded</t>
    <phoneticPr fontId="7" type="noConversion"/>
  </si>
  <si>
    <t>Truck fuel economy in the fifth year -Full Loaded</t>
    <phoneticPr fontId="7" type="noConversion"/>
  </si>
  <si>
    <t>Truck fuel economy in the second year -Unladen</t>
    <phoneticPr fontId="7" type="noConversion"/>
  </si>
  <si>
    <t>Truck fuel economy in the third year -Unladen</t>
    <phoneticPr fontId="7" type="noConversion"/>
  </si>
  <si>
    <t>Truck fuel economy in the fourth year -Unladen</t>
    <phoneticPr fontId="7" type="noConversion"/>
  </si>
  <si>
    <t>Truck fuel economy in the fifth year -Unladen</t>
    <phoneticPr fontId="7" type="noConversion"/>
  </si>
  <si>
    <t>Annual energy requirement in the first year</t>
    <phoneticPr fontId="7" type="noConversion"/>
  </si>
  <si>
    <t>Annual energy requirement in the second year</t>
    <phoneticPr fontId="7" type="noConversion"/>
  </si>
  <si>
    <t>Annual energy requirement in the third year</t>
    <phoneticPr fontId="7" type="noConversion"/>
  </si>
  <si>
    <t>Annual energy requirement in the fourth year</t>
    <phoneticPr fontId="7" type="noConversion"/>
  </si>
  <si>
    <t>Annual energy requirement in the fifth year</t>
    <phoneticPr fontId="7" type="noConversion"/>
  </si>
  <si>
    <t>Annual on-depot demand in the second year</t>
    <phoneticPr fontId="7" type="noConversion"/>
  </si>
  <si>
    <t>Annual on-depot demand in the first year</t>
    <phoneticPr fontId="7" type="noConversion"/>
  </si>
  <si>
    <t>Annual on-depot demand in the third year</t>
    <phoneticPr fontId="7" type="noConversion"/>
  </si>
  <si>
    <t>Annual on-depot demand in the fourth year</t>
    <phoneticPr fontId="7" type="noConversion"/>
  </si>
  <si>
    <t>Annual on-depot demand in the fifth year</t>
    <phoneticPr fontId="7" type="noConversion"/>
  </si>
  <si>
    <t>Annual public hub demand in the first year</t>
    <phoneticPr fontId="7" type="noConversion"/>
  </si>
  <si>
    <t>Annual public hub demand in the second year</t>
    <phoneticPr fontId="7" type="noConversion"/>
  </si>
  <si>
    <t>Annual public hub demand in the third year</t>
    <phoneticPr fontId="7" type="noConversion"/>
  </si>
  <si>
    <t>Annual public hub demand in the fourth  year</t>
    <phoneticPr fontId="7" type="noConversion"/>
  </si>
  <si>
    <t>Annual public hub demand in the fifth year</t>
    <phoneticPr fontId="7" type="noConversion"/>
  </si>
  <si>
    <t>Depot infrastructure cost in the first year</t>
    <phoneticPr fontId="7" type="noConversion"/>
  </si>
  <si>
    <t>Depot infrastructure cost in the second year</t>
    <phoneticPr fontId="7" type="noConversion"/>
  </si>
  <si>
    <t>Depot infrastructure cost in the third year</t>
    <phoneticPr fontId="7" type="noConversion"/>
  </si>
  <si>
    <t>Depot infrastructure cost in the fourth year</t>
    <phoneticPr fontId="7" type="noConversion"/>
  </si>
  <si>
    <t>Depot infrastructure cost in the fifth year</t>
    <phoneticPr fontId="7" type="noConversion"/>
  </si>
  <si>
    <t>Assumed</t>
    <phoneticPr fontId="7" type="noConversion"/>
  </si>
  <si>
    <t>Used in Aegis model - adjusted for exchange rate of CNY/GBP of 9.65 (CNY 1,430)</t>
    <phoneticPr fontId="7" type="noConversion"/>
  </si>
  <si>
    <t>(Qijiswap, 2025) (NewsQQ, 2024)</t>
    <phoneticPr fontId="7" type="noConversion"/>
  </si>
  <si>
    <t>Collected from Brunp consultation</t>
    <phoneticPr fontId="7" type="noConversion"/>
  </si>
  <si>
    <t>(DfT, 2024)</t>
    <phoneticPr fontId="7" type="noConversion"/>
  </si>
  <si>
    <t>UK HGV (3.5t) drivers</t>
    <phoneticPr fontId="7" type="noConversion"/>
  </si>
  <si>
    <t>(NewQQ, 2024)</t>
    <phoneticPr fontId="7" type="noConversion"/>
  </si>
  <si>
    <t>Provided by Brunp</t>
    <phoneticPr fontId="7" type="noConversion"/>
  </si>
  <si>
    <t>Energy save compared to when full-loaded</t>
    <phoneticPr fontId="7" type="noConversion"/>
  </si>
  <si>
    <t>Expected diesel requirement in the first year</t>
    <phoneticPr fontId="7" type="noConversion"/>
  </si>
  <si>
    <t>Annual public hub demand in the fourth year</t>
    <phoneticPr fontId="7" type="noConversion"/>
  </si>
  <si>
    <t>Daily distance driven - Full Loaded</t>
    <phoneticPr fontId="7" type="noConversion"/>
  </si>
  <si>
    <t>Average diesel price was 148 pence per litre in 2024</t>
    <phoneticPr fontId="7" type="noConversion"/>
  </si>
  <si>
    <t>(DfT, 2025a)</t>
    <phoneticPr fontId="7" type="noConversion"/>
  </si>
  <si>
    <t>(DfT, 2025b)</t>
    <phoneticPr fontId="7" type="noConversion"/>
  </si>
  <si>
    <t>The average truck driver gross salary in United Kingdom is £36,865 or an equivalent hourly rate of £18. (Salary Expert,2026); If we look at the Articulated truck driver salary statistics in United Kingdom as of February 4, 2026, the represented employee makes £41,491; to be more precise pay rate is £3,458 per month, £798 per week, or £20.5 per hour. (Jooble, 2026)</t>
    <phoneticPr fontId="7" type="noConversion"/>
  </si>
  <si>
    <t>Public charging costs can vary significantly. As of October 2025, slow and fast chargers average around 53p per kWh, while rapid and ultra-rapid chargers can cost about 76p per kWh. Switch to an EV-friendly off-peak tariff, and the savings are dramatic. Some suppliers, like Octopus and OVO, offer overnight rates from just 7p per kWh (LOVEELECTRIC, 2025)</t>
    <phoneticPr fontId="7" type="noConversion"/>
  </si>
  <si>
    <t>(Daimler, 2026)</t>
    <phoneticPr fontId="7" type="noConversion"/>
  </si>
  <si>
    <t>Average price of 5 models</t>
    <phoneticPr fontId="7" type="noConversion"/>
  </si>
  <si>
    <t>Energy save when unladen</t>
    <phoneticPr fontId="7" type="noConversion"/>
  </si>
  <si>
    <t>Unladen trucks are assumed to have this % of energy save compared to when full-loaded.</t>
    <phoneticPr fontId="7" type="noConversion"/>
  </si>
  <si>
    <t>(Nimblefins, 2026) (Switcha, 2025)</t>
    <phoneticPr fontId="7" type="noConversion"/>
  </si>
  <si>
    <t>As of January 2026, the average cost to insure a single HGV typically ranges from £5,000 to £10,000 per year. Taking the highest number to represent the large truck model.</t>
    <phoneticPr fontId="7" type="noConversion"/>
  </si>
  <si>
    <t xml:space="preserve">(The electric car scheme, 2026) </t>
    <phoneticPr fontId="7" type="noConversion"/>
  </si>
  <si>
    <t xml:space="preserve">Electric car insurance through traditional channels costs 15-25% more than petrol equivalents in 2026. </t>
    <phoneticPr fontId="7" type="noConversion"/>
  </si>
  <si>
    <t>Insurance percentage on top of diesel truck</t>
    <phoneticPr fontId="7" type="noConversion"/>
  </si>
  <si>
    <t>Diesel truck consistant Insurance</t>
    <phoneticPr fontId="7" type="noConversion"/>
  </si>
  <si>
    <t>BET insurance</t>
    <phoneticPr fontId="7" type="noConversion"/>
  </si>
  <si>
    <t>LEZ operation percentage</t>
    <phoneticPr fontId="7" type="noConversion"/>
  </si>
  <si>
    <t>-</t>
    <phoneticPr fontId="7" type="noConversion"/>
  </si>
  <si>
    <t>LEZ operation Charge</t>
    <phoneticPr fontId="7" type="noConversion"/>
  </si>
  <si>
    <t>(RAM Tracking, 2025)</t>
    <phoneticPr fontId="7" type="noConversion"/>
  </si>
  <si>
    <t>Assumption</t>
    <phoneticPr fontId="7" type="noConversion"/>
  </si>
  <si>
    <t>Truck fuel economy increase rate</t>
    <phoneticPr fontId="7" type="noConversion"/>
  </si>
  <si>
    <t>-</t>
    <phoneticPr fontId="7" type="noConversion"/>
  </si>
  <si>
    <t>Battery energy intensity - Full Loaded - Second Year</t>
    <phoneticPr fontId="7" type="noConversion"/>
  </si>
  <si>
    <t>Battery energy intensity - Full Loaded - Third Year</t>
    <phoneticPr fontId="7" type="noConversion"/>
  </si>
  <si>
    <t>Battery energy intensity - Full Loaded - Fourth Year</t>
    <phoneticPr fontId="7" type="noConversion"/>
  </si>
  <si>
    <t>Battery energy intensity - Full Loaded - Fifth Year</t>
    <phoneticPr fontId="7" type="noConversion"/>
  </si>
  <si>
    <t>Battery energy intensity - Unladen - Second Year</t>
    <phoneticPr fontId="7" type="noConversion"/>
  </si>
  <si>
    <t>Battery energy intensity - Unladen - Third Year</t>
    <phoneticPr fontId="7" type="noConversion"/>
  </si>
  <si>
    <t>Battery energy intensity - Unladen - Fourth Year</t>
    <phoneticPr fontId="7" type="noConversion"/>
  </si>
  <si>
    <t>Battery energy intensity - Unladen - Fifth Year</t>
    <phoneticPr fontId="7" type="noConversion"/>
  </si>
  <si>
    <t>Daily truck energy use -Second Year</t>
    <phoneticPr fontId="7" type="noConversion"/>
  </si>
  <si>
    <t>Daily truck energy use -Third Year</t>
    <phoneticPr fontId="7" type="noConversion"/>
  </si>
  <si>
    <t>Daily truck energy use - Fourth Year</t>
    <phoneticPr fontId="7" type="noConversion"/>
  </si>
  <si>
    <t>Daily truck energy use -Fifth Year</t>
    <phoneticPr fontId="7" type="noConversion"/>
  </si>
  <si>
    <t>electricity service costs - Second Year</t>
    <phoneticPr fontId="7" type="noConversion"/>
  </si>
  <si>
    <t>electricity service costs - Third Year</t>
    <phoneticPr fontId="7" type="noConversion"/>
  </si>
  <si>
    <t>electricity service costs - Fourth Year</t>
    <phoneticPr fontId="7" type="noConversion"/>
  </si>
  <si>
    <t>electricity service costs - Fifth Year</t>
    <phoneticPr fontId="7" type="noConversion"/>
  </si>
  <si>
    <t>Unladen trucks are assumed to have this % of energy saved compared to when full-loaded.</t>
    <phoneticPr fontId="7" type="noConversion"/>
  </si>
  <si>
    <t>Consistent Insurance</t>
    <phoneticPr fontId="7" type="noConversion"/>
  </si>
  <si>
    <t>5-year Allocated battery depreciation per truck - EO1L</t>
    <phoneticPr fontId="7" type="noConversion"/>
  </si>
  <si>
    <t xml:space="preserve">Linear </t>
    <phoneticPr fontId="7" type="noConversion"/>
  </si>
  <si>
    <t>BET-C - ICET</t>
    <phoneticPr fontId="7" type="noConversion"/>
  </si>
  <si>
    <t>Subsidy</t>
    <phoneticPr fontId="7" type="noConversion"/>
  </si>
  <si>
    <t>(GOV.UK, 2023)</t>
    <phoneticPr fontId="7" type="noConversion"/>
  </si>
  <si>
    <t>from 25000 and up to 120,000 pounds by 2026. Not considered hear but in the subsidy scenarios</t>
    <phoneticPr fontId="7" type="noConversion"/>
  </si>
  <si>
    <t>years</t>
    <phoneticPr fontId="7" type="noConversion"/>
  </si>
  <si>
    <t>Annual service cost</t>
    <phoneticPr fontId="7" type="noConversion"/>
  </si>
  <si>
    <t>Same as BET-C</t>
    <phoneticPr fontId="7" type="noConversion"/>
  </si>
  <si>
    <t>Glider Fixed depreciation rate</t>
    <phoneticPr fontId="7" type="noConversion"/>
  </si>
  <si>
    <t>Variable glider dipreciation per km</t>
    <phoneticPr fontId="7" type="noConversion"/>
  </si>
  <si>
    <t xml:space="preserve"> from Iveco</t>
    <phoneticPr fontId="7" type="noConversion"/>
  </si>
  <si>
    <t>Electric glider acquisition cost</t>
    <phoneticPr fontId="7" type="noConversion"/>
  </si>
  <si>
    <t>Literature average</t>
    <phoneticPr fontId="7" type="noConversion"/>
  </si>
  <si>
    <t>Fixed depreciation rate</t>
    <phoneticPr fontId="7" type="noConversion"/>
  </si>
  <si>
    <t>Variable depreciation per km</t>
    <phoneticPr fontId="7" type="noConversion"/>
  </si>
  <si>
    <t>Annual mileage is asumed to be 100,000km. Devided by 292 days.</t>
    <phoneticPr fontId="7" type="noConversion"/>
  </si>
  <si>
    <t>ICCT &amp; …</t>
    <phoneticPr fontId="7" type="noConversion"/>
  </si>
  <si>
    <t xml:space="preserve">Calibrated </t>
    <phoneticPr fontId="7" type="noConversion"/>
  </si>
  <si>
    <t>based on "million mile" warranty claims in market 1 mile = c1.6 km =&gt; 15 years</t>
    <phoneticPr fontId="7" type="noConversion"/>
  </si>
  <si>
    <t>Battery lifetime cycle</t>
    <phoneticPr fontId="7" type="noConversion"/>
  </si>
  <si>
    <t>-</t>
    <phoneticPr fontId="7" type="noConversion"/>
  </si>
  <si>
    <t>Battery Lifetime cycle</t>
    <phoneticPr fontId="7" type="noConversion"/>
  </si>
  <si>
    <t>Public hub electricity price</t>
    <phoneticPr fontId="7" type="noConversion"/>
  </si>
  <si>
    <t>ICCT, 2022</t>
    <phoneticPr fontId="7" type="noConversion"/>
  </si>
  <si>
    <t>ICCT,2021;ICCT,2021EU; ICCT2024</t>
    <phoneticPr fontId="7" type="noConversion"/>
  </si>
  <si>
    <t>On-depot retail energy price</t>
    <phoneticPr fontId="7" type="noConversion"/>
  </si>
  <si>
    <t>cycles</t>
    <phoneticPr fontId="7" type="noConversion"/>
  </si>
  <si>
    <t>Electric glider acquisition cost - changes by 2030</t>
    <phoneticPr fontId="7" type="noConversion"/>
  </si>
  <si>
    <t>Electric glider acquisition cost - changes by 2040</t>
    <phoneticPr fontId="7" type="noConversion"/>
  </si>
  <si>
    <t>annual change by 2030</t>
    <phoneticPr fontId="7" type="noConversion"/>
  </si>
  <si>
    <t>annual change by 2040</t>
    <phoneticPr fontId="7" type="noConversion"/>
  </si>
  <si>
    <t>Reference</t>
    <phoneticPr fontId="7" type="noConversion"/>
  </si>
  <si>
    <t>Fuel economy in the purchase year -Full Loaded - Diesel</t>
    <phoneticPr fontId="7" type="noConversion"/>
  </si>
  <si>
    <t>Diesel truck acquisition cost</t>
    <phoneticPr fontId="7" type="noConversion"/>
  </si>
  <si>
    <t>Fuel economy in the purchase year -Full Loaded - BET-C&amp;BET-S</t>
    <phoneticPr fontId="7" type="noConversion"/>
  </si>
  <si>
    <t>Variable</t>
    <phoneticPr fontId="7" type="noConversion"/>
  </si>
  <si>
    <t>Input future changes</t>
    <phoneticPr fontId="7" type="noConversion"/>
  </si>
  <si>
    <t>Diesel truck CAPEX</t>
    <phoneticPr fontId="7" type="noConversion"/>
  </si>
  <si>
    <t>ICCT, 2024</t>
    <phoneticPr fontId="7" type="noConversion"/>
  </si>
  <si>
    <t>Assumed</t>
    <phoneticPr fontId="7" type="noConversion"/>
  </si>
  <si>
    <t>ICCT, 2021</t>
    <phoneticPr fontId="7" type="noConversion"/>
  </si>
  <si>
    <t>ICCT, 2024, ICCT, 2021</t>
    <phoneticPr fontId="7" type="noConversion"/>
  </si>
  <si>
    <t>ICCT, 2024, ICCT, 2021 + ASSUMED</t>
    <phoneticPr fontId="7" type="noConversion"/>
  </si>
  <si>
    <t>1. A truck discussed in this model is a heavy-duty vehicle consists of a 6×2 tractor unit.
2. BET fuel economy is assumed to have 0.5% decreasing for BET-S because of better management and maintenance.
3. All future cash flows and amortised costs are assumed to pay at the end of each year when accounting for discounted values.</t>
  </si>
  <si>
    <t>1. A truck discussed in this model is a heavy-duty vehicle consists of a 6×2 tractor unit.
2. BET fuel economy is assumed to increase every year at 1.4%.
3. All future cash flows and amortised costs are assumed to pay at the end of each year when accounting for discounted values.</t>
  </si>
  <si>
    <t>1. A truck discussed in this model is a heavy duty vehicle consists of a 6×2 tractor unit.
2. The fuel economy is assumed to increase every year at 1.1%.
3. All future cash flows and amortised costs are assumed to pay at the end of each year when accounting for discounted values.</t>
  </si>
  <si>
    <t>2000/1500/3000</t>
    <phoneticPr fontId="7" type="noConversion"/>
  </si>
  <si>
    <t>Station annual staff costs</t>
    <phoneticPr fontId="7" type="noConversion"/>
  </si>
  <si>
    <t>£</t>
    <phoneticPr fontId="7" type="noConversion"/>
  </si>
  <si>
    <t>£/year</t>
    <phoneticPr fontId="7" type="noConversion"/>
  </si>
  <si>
    <t>-</t>
    <phoneticPr fontId="7" type="noConversion"/>
  </si>
  <si>
    <t>Expected annual return on battery renting</t>
    <phoneticPr fontId="7" type="noConversion"/>
  </si>
  <si>
    <t>Peak retail energy price-BaaS provider pays</t>
    <phoneticPr fontId="7" type="noConversion"/>
  </si>
  <si>
    <t>Off-peak retail energy price-BaaS provider pays</t>
    <phoneticPr fontId="7" type="noConversion"/>
  </si>
  <si>
    <t>Peak retail energy price-Fleet manager pays</t>
    <phoneticPr fontId="7" type="noConversion"/>
  </si>
  <si>
    <t>Off-peak retail energy price-Fleet manager pays</t>
    <phoneticPr fontId="7" type="noConversion"/>
  </si>
  <si>
    <t>CAPEX</t>
    <phoneticPr fontId="7" type="noConversion"/>
  </si>
  <si>
    <t>Station annual cost on all other services</t>
    <phoneticPr fontId="7" type="noConversion"/>
  </si>
  <si>
    <t>Annual Operation Costs 1</t>
    <phoneticPr fontId="7" type="noConversion"/>
  </si>
  <si>
    <t>Annual Operation Costs 2</t>
  </si>
  <si>
    <t>Annual Operation Costs 3</t>
  </si>
  <si>
    <t>Annual Operation Costs 4</t>
  </si>
  <si>
    <t>Annual Operation Costs 5</t>
  </si>
  <si>
    <t>Annual Revenue 1</t>
    <phoneticPr fontId="7" type="noConversion"/>
  </si>
  <si>
    <t>Annual Revenue 2</t>
  </si>
  <si>
    <t>Annual Revenue 3</t>
  </si>
  <si>
    <t>Annual Revenue 4</t>
  </si>
  <si>
    <t>Annual Revenue 5</t>
  </si>
  <si>
    <t>BaaS Provider Cash Flow</t>
    <phoneticPr fontId="7" type="noConversion"/>
  </si>
  <si>
    <t>IRR</t>
    <phoneticPr fontId="7" type="noConversion"/>
  </si>
  <si>
    <t>Payback</t>
    <phoneticPr fontId="7" type="noConversion"/>
  </si>
  <si>
    <t>NCF</t>
    <phoneticPr fontId="7" type="noConversion"/>
  </si>
  <si>
    <t>NCF1</t>
    <phoneticPr fontId="7" type="noConversion"/>
  </si>
  <si>
    <t>NCF2</t>
  </si>
  <si>
    <t>NCF3</t>
  </si>
  <si>
    <t>Shift per day</t>
    <phoneticPr fontId="7" type="noConversion"/>
  </si>
  <si>
    <t>Daily distance driven with cargo per shift</t>
    <phoneticPr fontId="7" type="noConversion"/>
  </si>
  <si>
    <t>Daily unladen distance driven per shift</t>
    <phoneticPr fontId="7" type="noConversion"/>
  </si>
  <si>
    <t>NCF4</t>
  </si>
  <si>
    <t>NCF5</t>
  </si>
  <si>
    <t>Battery CAPEX</t>
    <phoneticPr fontId="7" type="noConversion"/>
  </si>
  <si>
    <t>Extra monthly rent</t>
    <phoneticPr fontId="7" type="noConversion"/>
  </si>
  <si>
    <t>Basic monthly rent to cover costs</t>
    <phoneticPr fontId="7" type="noConversion"/>
  </si>
  <si>
    <t>Cost of Capital</t>
    <phoneticPr fontId="7" type="noConversion"/>
  </si>
  <si>
    <t>-</t>
    <phoneticPr fontId="7" type="noConversion"/>
  </si>
  <si>
    <t>Upfront payment percentage</t>
    <phoneticPr fontId="7" type="noConversion"/>
  </si>
  <si>
    <t>Interest payment per year</t>
    <phoneticPr fontId="7" type="noConversion"/>
  </si>
  <si>
    <t xml:space="preserve">Upfront payment </t>
    <phoneticPr fontId="7" type="noConversion"/>
  </si>
  <si>
    <t>Loan Term</t>
    <phoneticPr fontId="7" type="noConversion"/>
  </si>
  <si>
    <t>years</t>
    <phoneticPr fontId="7" type="noConversion"/>
  </si>
  <si>
    <t>Loan Amount</t>
    <phoneticPr fontId="7" type="noConversion"/>
  </si>
  <si>
    <t>Annual payment</t>
    <phoneticPr fontId="7" type="noConversion"/>
  </si>
  <si>
    <t>Driver costs per truck</t>
    <phoneticPr fontId="7" type="noConversion"/>
  </si>
  <si>
    <t>Glider Total Costs NPV</t>
    <phoneticPr fontId="7" type="noConversion"/>
  </si>
  <si>
    <t>Glider total cost NPV</t>
    <phoneticPr fontId="7" type="noConversion"/>
  </si>
  <si>
    <t>Glider residual value NPV</t>
    <phoneticPr fontId="7" type="noConversion"/>
  </si>
  <si>
    <t>Annual Allocated Station Operating Cost per truck</t>
    <phoneticPr fontId="7" type="noConversion"/>
  </si>
  <si>
    <t>Annual Allocated infrastructure depreciation per truck</t>
    <phoneticPr fontId="7" type="noConversion"/>
  </si>
  <si>
    <t>Annual Allocated battery depreciation per truck</t>
    <phoneticPr fontId="7" type="noConversion"/>
  </si>
  <si>
    <t>Basic annual rent to cover BaaS costs</t>
    <phoneticPr fontId="7" type="noConversion"/>
  </si>
  <si>
    <t>Annual extra rent serves as profit</t>
    <phoneticPr fontId="7" type="noConversion"/>
  </si>
  <si>
    <t>5-year Allocated Station Operating Cost per truck NPV</t>
    <phoneticPr fontId="7" type="noConversion"/>
  </si>
  <si>
    <t>5-year Allocated infrastructure depreciation per truck NPV</t>
    <phoneticPr fontId="7" type="noConversion"/>
  </si>
  <si>
    <t>5-year Allocated battery depreciation per truck NPV</t>
    <phoneticPr fontId="7" type="noConversion"/>
  </si>
  <si>
    <t>5-year rent - Fleet manager pays NPV</t>
    <phoneticPr fontId="7" type="noConversion"/>
  </si>
  <si>
    <t>5-year extra battery rent NPV</t>
    <phoneticPr fontId="7" type="noConversion"/>
  </si>
  <si>
    <t>Annual Swapping fee</t>
    <phoneticPr fontId="7" type="noConversion"/>
  </si>
  <si>
    <t>5-year fixed swapping fees NPV</t>
    <phoneticPr fontId="7" type="noConversion"/>
  </si>
  <si>
    <t>electricity service costs - First Year</t>
    <phoneticPr fontId="7" type="noConversion"/>
  </si>
  <si>
    <t>5-year Electricity service costs NPV</t>
    <phoneticPr fontId="7" type="noConversion"/>
  </si>
  <si>
    <t>Electric Glider Price</t>
    <phoneticPr fontId="7" type="noConversion"/>
  </si>
  <si>
    <t>Battery residual percentage</t>
    <phoneticPr fontId="7" type="noConversion"/>
  </si>
  <si>
    <t>Truck fuel economy annual increase rate</t>
    <phoneticPr fontId="7" type="noConversion"/>
  </si>
  <si>
    <t>Truck Fixed Annual Operation Costs</t>
    <phoneticPr fontId="7" type="noConversion"/>
  </si>
  <si>
    <t>Truck Operarion Details</t>
    <phoneticPr fontId="7" type="noConversion"/>
  </si>
  <si>
    <t>Batteries in station</t>
    <phoneticPr fontId="7" type="noConversion"/>
  </si>
  <si>
    <t>#</t>
    <phoneticPr fontId="7" type="noConversion"/>
  </si>
  <si>
    <t>Calculations</t>
    <phoneticPr fontId="7" type="noConversion"/>
  </si>
  <si>
    <t>Personnel expenditure - For Information Only</t>
    <phoneticPr fontId="7" type="noConversion"/>
  </si>
  <si>
    <t>Battery modules per truck</t>
    <phoneticPr fontId="7" type="noConversion"/>
  </si>
  <si>
    <t>modules/truck</t>
    <phoneticPr fontId="7" type="noConversion"/>
  </si>
  <si>
    <t>Station Costs and Revenue sources</t>
    <phoneticPr fontId="7" type="noConversion"/>
  </si>
  <si>
    <t>Time duration considered in TCO</t>
    <phoneticPr fontId="7" type="noConversion"/>
  </si>
  <si>
    <t>Energy Service Total Cost NPV</t>
    <phoneticPr fontId="7" type="noConversion"/>
  </si>
  <si>
    <t>5-year TCO NPV</t>
    <phoneticPr fontId="7" type="noConversion"/>
  </si>
  <si>
    <t>Energy Service costs</t>
    <phoneticPr fontId="7" type="noConversion"/>
  </si>
  <si>
    <t>Cumulated NCF</t>
    <phoneticPr fontId="7" type="noConversion"/>
  </si>
  <si>
    <t>Electric Glider Price</t>
    <phoneticPr fontId="7" type="noConversion"/>
  </si>
  <si>
    <t>Cost of Capital</t>
    <phoneticPr fontId="7" type="noConversion"/>
  </si>
  <si>
    <t>-</t>
    <phoneticPr fontId="7" type="noConversion"/>
  </si>
  <si>
    <t>Upfront payment percentage</t>
    <phoneticPr fontId="7" type="noConversion"/>
  </si>
  <si>
    <t>Loan Term</t>
    <phoneticPr fontId="7" type="noConversion"/>
  </si>
  <si>
    <t>years</t>
    <phoneticPr fontId="7" type="noConversion"/>
  </si>
  <si>
    <t>Loan Amount</t>
    <phoneticPr fontId="7" type="noConversion"/>
  </si>
  <si>
    <t xml:space="preserve">Upfront payment </t>
    <phoneticPr fontId="7" type="noConversion"/>
  </si>
  <si>
    <t>Interest payment per year</t>
    <phoneticPr fontId="7" type="noConversion"/>
  </si>
  <si>
    <t>Annual payment</t>
    <phoneticPr fontId="7" type="noConversion"/>
  </si>
  <si>
    <t>Truck Fixed Annual Operation Costs</t>
    <phoneticPr fontId="7" type="noConversion"/>
  </si>
  <si>
    <t>Driver costs per truck</t>
    <phoneticPr fontId="7" type="noConversion"/>
  </si>
  <si>
    <t>Charges per day</t>
    <phoneticPr fontId="7" type="noConversion"/>
  </si>
  <si>
    <t>Charges/day</t>
    <phoneticPr fontId="7" type="noConversion"/>
  </si>
  <si>
    <t>Truck Operations Details</t>
    <phoneticPr fontId="7" type="noConversion"/>
  </si>
  <si>
    <t>Time duration considered in TCO</t>
    <phoneticPr fontId="7" type="noConversion"/>
  </si>
  <si>
    <t>Truck acquisition cost NPV</t>
    <phoneticPr fontId="7" type="noConversion"/>
  </si>
  <si>
    <t>Truck fixed operating cost NPV</t>
    <phoneticPr fontId="7" type="noConversion"/>
  </si>
  <si>
    <t>Truck residual value NPV</t>
    <phoneticPr fontId="7" type="noConversion"/>
  </si>
  <si>
    <t>Battery residual value NPV</t>
    <phoneticPr fontId="7" type="noConversion"/>
  </si>
  <si>
    <t>Truck Total Costs NPV</t>
    <phoneticPr fontId="7" type="noConversion"/>
  </si>
  <si>
    <t>Depot infrastructure cost per truck</t>
    <phoneticPr fontId="7" type="noConversion"/>
  </si>
  <si>
    <t>Assumptions</t>
    <phoneticPr fontId="7" type="noConversion"/>
  </si>
  <si>
    <t>Energy  costs NPV</t>
    <phoneticPr fontId="7" type="noConversion"/>
  </si>
  <si>
    <t>Glider residual percentage</t>
    <phoneticPr fontId="7" type="noConversion"/>
  </si>
  <si>
    <t>BET-C (Depot Slow &amp; Hub Fast)</t>
    <phoneticPr fontId="7" type="noConversion"/>
  </si>
  <si>
    <t>Depot slow charging percentage</t>
    <phoneticPr fontId="7" type="noConversion"/>
  </si>
  <si>
    <t>Refuel/day</t>
    <phoneticPr fontId="7" type="noConversion"/>
  </si>
  <si>
    <t>Refuels per day</t>
    <phoneticPr fontId="7" type="noConversion"/>
  </si>
  <si>
    <t>Depot refuelling percentage</t>
    <phoneticPr fontId="7" type="noConversion"/>
  </si>
  <si>
    <t>Energy service cost</t>
    <phoneticPr fontId="7" type="noConversion"/>
  </si>
  <si>
    <t>Depot infrastructure cost NPV</t>
    <phoneticPr fontId="7" type="noConversion"/>
  </si>
  <si>
    <t>Energy service cost NPV</t>
    <phoneticPr fontId="7" type="noConversion"/>
  </si>
  <si>
    <t>Depot infrastructure cost NPV</t>
    <phoneticPr fontId="7" type="noConversion"/>
  </si>
  <si>
    <t>Energy cost NPV</t>
    <phoneticPr fontId="7" type="noConversion"/>
  </si>
  <si>
    <t>Total energy service cost</t>
    <phoneticPr fontId="7" type="noConversion"/>
  </si>
  <si>
    <t>5-year TCO NPV</t>
    <phoneticPr fontId="7" type="noConversion"/>
  </si>
  <si>
    <t>Truck residual value NPV</t>
    <phoneticPr fontId="7" type="noConversion"/>
  </si>
  <si>
    <t>Glider residual value percentage</t>
    <phoneticPr fontId="7" type="noConversion"/>
  </si>
  <si>
    <t>Offpeak swapping percentage</t>
    <phoneticPr fontId="7" type="noConversion"/>
  </si>
  <si>
    <t>Time</t>
    <phoneticPr fontId="7" type="noConversion"/>
  </si>
  <si>
    <t>input</t>
    <phoneticPr fontId="7" type="noConversion"/>
  </si>
  <si>
    <t>Diesel Trucks (Depot&amp;Hub)</t>
    <phoneticPr fontId="7" type="noConversion"/>
  </si>
  <si>
    <t>Diesel Trucks (Depot&amp;Hub)</t>
    <phoneticPr fontId="7" type="noConversion"/>
  </si>
  <si>
    <t>Target electricity margin</t>
    <phoneticPr fontId="7" type="noConversion"/>
  </si>
  <si>
    <t>Truck Curb Weight</t>
    <phoneticPr fontId="7" type="noConversion"/>
  </si>
  <si>
    <t>kg CO2e/kg</t>
    <phoneticPr fontId="7" type="noConversion"/>
  </si>
  <si>
    <t>kg</t>
    <phoneticPr fontId="7" type="noConversion"/>
  </si>
  <si>
    <t>Diesel Emission Factor</t>
    <phoneticPr fontId="7" type="noConversion"/>
  </si>
  <si>
    <t xml:space="preserve"> kg CO2e/L</t>
    <phoneticPr fontId="7" type="noConversion"/>
  </si>
  <si>
    <t>Diesel Truck Recycle Emission Saving</t>
    <phoneticPr fontId="7" type="noConversion"/>
  </si>
  <si>
    <t>Truck Production Emission Factor</t>
    <phoneticPr fontId="7" type="noConversion"/>
  </si>
  <si>
    <t>-</t>
    <phoneticPr fontId="7" type="noConversion"/>
  </si>
  <si>
    <t>Use Emissions</t>
    <phoneticPr fontId="7" type="noConversion"/>
  </si>
  <si>
    <t>Recycle Emission saving</t>
    <phoneticPr fontId="7" type="noConversion"/>
  </si>
  <si>
    <t>Diesel Emission in the First Year</t>
    <phoneticPr fontId="7" type="noConversion"/>
  </si>
  <si>
    <t>Diesel Emission in the Second Year</t>
    <phoneticPr fontId="7" type="noConversion"/>
  </si>
  <si>
    <t>Diesel Emission in the Third Year</t>
    <phoneticPr fontId="7" type="noConversion"/>
  </si>
  <si>
    <t>Diesel Emission in the Fourth Year</t>
    <phoneticPr fontId="7" type="noConversion"/>
  </si>
  <si>
    <t>Diesel Emission in the Fifth Year</t>
    <phoneticPr fontId="7" type="noConversion"/>
  </si>
  <si>
    <t xml:space="preserve"> kg CO2e</t>
  </si>
  <si>
    <t xml:space="preserve"> kg CO2e</t>
    <phoneticPr fontId="7" type="noConversion"/>
  </si>
  <si>
    <t xml:space="preserve"> kg CO2e/km</t>
    <phoneticPr fontId="7" type="noConversion"/>
  </si>
  <si>
    <t>Glider weight</t>
    <phoneticPr fontId="7" type="noConversion"/>
  </si>
  <si>
    <t>Glider Production Emission Factor</t>
    <phoneticPr fontId="7" type="noConversion"/>
  </si>
  <si>
    <t>Battery Production Emission Factor</t>
    <phoneticPr fontId="7" type="noConversion"/>
  </si>
  <si>
    <t>kg CO2e/kWh</t>
    <phoneticPr fontId="7" type="noConversion"/>
  </si>
  <si>
    <t>Glider Production Emissions</t>
    <phoneticPr fontId="7" type="noConversion"/>
  </si>
  <si>
    <t>Truck Production Emissions</t>
    <phoneticPr fontId="7" type="noConversion"/>
  </si>
  <si>
    <t>Battery Production Emissions</t>
    <phoneticPr fontId="7" type="noConversion"/>
  </si>
  <si>
    <t>Electricity Emission in the First Year</t>
    <phoneticPr fontId="7" type="noConversion"/>
  </si>
  <si>
    <t>Electricity Emission in the Second Year</t>
    <phoneticPr fontId="7" type="noConversion"/>
  </si>
  <si>
    <t>Electricity Emission in the Third Year</t>
    <phoneticPr fontId="7" type="noConversion"/>
  </si>
  <si>
    <t>Electricity Emission in the Fourth Year</t>
    <phoneticPr fontId="7" type="noConversion"/>
  </si>
  <si>
    <t>Electricity Emission in the Fifth Year</t>
    <phoneticPr fontId="7" type="noConversion"/>
  </si>
  <si>
    <t>Electricity Emissions</t>
    <phoneticPr fontId="7" type="noConversion"/>
  </si>
  <si>
    <t xml:space="preserve">kg CO2e/kWh </t>
    <phoneticPr fontId="7" type="noConversion"/>
  </si>
  <si>
    <t>Glider Recycle Emission Saving</t>
    <phoneticPr fontId="7" type="noConversion"/>
  </si>
  <si>
    <t>Battery Recycle Emission Saving</t>
    <phoneticPr fontId="7" type="noConversion"/>
  </si>
  <si>
    <t>Glider Recycle Emission saving</t>
    <phoneticPr fontId="7" type="noConversion"/>
  </si>
  <si>
    <t>Battery Recycle Emission saving</t>
    <phoneticPr fontId="7" type="noConversion"/>
  </si>
  <si>
    <t>kWh</t>
    <phoneticPr fontId="7" type="noConversion"/>
  </si>
  <si>
    <t>Battery Second Life Capacity</t>
    <phoneticPr fontId="7" type="noConversion"/>
  </si>
  <si>
    <t>Second Life Emission Credit</t>
    <phoneticPr fontId="7" type="noConversion"/>
  </si>
  <si>
    <t>-</t>
    <phoneticPr fontId="7" type="noConversion"/>
  </si>
  <si>
    <t xml:space="preserve">Use Emissions </t>
    <phoneticPr fontId="7" type="noConversion"/>
  </si>
  <si>
    <t>10-year Life Cycle Emissions per Truck</t>
    <phoneticPr fontId="7" type="noConversion"/>
  </si>
  <si>
    <t>Life Cycle Emissions</t>
    <phoneticPr fontId="7" type="noConversion"/>
  </si>
  <si>
    <t>Life Cycle Emissions per km</t>
    <phoneticPr fontId="7" type="noConversion"/>
  </si>
  <si>
    <t>Life Cycle Emission including Second Life Credit</t>
    <phoneticPr fontId="7" type="noConversion"/>
  </si>
  <si>
    <t>Life Cycle Emission per km including Second Life Credit</t>
    <phoneticPr fontId="7" type="noConversion"/>
  </si>
  <si>
    <t>Truck fuel economy in the sixth year -Full Loaded</t>
    <phoneticPr fontId="7" type="noConversion"/>
  </si>
  <si>
    <t>Truck fuel economy in the seventh year -Full Loaded</t>
    <phoneticPr fontId="7" type="noConversion"/>
  </si>
  <si>
    <t>Truck fuel economy in the eighth year -Full Loaded</t>
    <phoneticPr fontId="7" type="noConversion"/>
  </si>
  <si>
    <t>Truck fuel economy in the ninth year -Full Loaded</t>
    <phoneticPr fontId="7" type="noConversion"/>
  </si>
  <si>
    <t>Truck fuel economy in the tenth year -Full Loaded</t>
    <phoneticPr fontId="7" type="noConversion"/>
  </si>
  <si>
    <t>Truck fuel economy in the sixth year -Unladen</t>
    <phoneticPr fontId="7" type="noConversion"/>
  </si>
  <si>
    <t>Truck fuel economy in the seventh year -Unladen</t>
    <phoneticPr fontId="7" type="noConversion"/>
  </si>
  <si>
    <t>Truck fuel economy in the eighth year -Unladen</t>
    <phoneticPr fontId="7" type="noConversion"/>
  </si>
  <si>
    <t>Truck fuel economy in the ninth year -Unladen</t>
    <phoneticPr fontId="7" type="noConversion"/>
  </si>
  <si>
    <t>Truck fuel economy in the tenth year -Unladen</t>
    <phoneticPr fontId="7" type="noConversion"/>
  </si>
  <si>
    <t>Daily diesel use in the sixth year</t>
    <phoneticPr fontId="7" type="noConversion"/>
  </si>
  <si>
    <t>Daily diesel use in the seventh year</t>
    <phoneticPr fontId="7" type="noConversion"/>
  </si>
  <si>
    <t>Daily diesel use in the eighth year</t>
    <phoneticPr fontId="7" type="noConversion"/>
  </si>
  <si>
    <t>Daily diesel use in the ninth year</t>
    <phoneticPr fontId="7" type="noConversion"/>
  </si>
  <si>
    <t>Daily diesel use in the tenth year</t>
    <phoneticPr fontId="7" type="noConversion"/>
  </si>
  <si>
    <t>Diesel Emission in the sixth Year</t>
    <phoneticPr fontId="7" type="noConversion"/>
  </si>
  <si>
    <t>Diesel Emission in the seventh Year</t>
    <phoneticPr fontId="7" type="noConversion"/>
  </si>
  <si>
    <t>Diesel Emission in the eighth Year</t>
    <phoneticPr fontId="7" type="noConversion"/>
  </si>
  <si>
    <t>Diesel Emission in the ninth Year</t>
    <phoneticPr fontId="7" type="noConversion"/>
  </si>
  <si>
    <t>Diesel Emission in the tenth Year</t>
    <phoneticPr fontId="7" type="noConversion"/>
  </si>
  <si>
    <t>Battery Sets Needed</t>
    <phoneticPr fontId="7" type="noConversion"/>
  </si>
  <si>
    <t>Battery Sets Needed</t>
    <phoneticPr fontId="7" type="noConversion"/>
  </si>
  <si>
    <t>-</t>
    <phoneticPr fontId="7" type="noConversion"/>
  </si>
  <si>
    <t>Truck Life Cycle Considered Lifetime</t>
    <phoneticPr fontId="7" type="noConversion"/>
  </si>
  <si>
    <t>years</t>
    <phoneticPr fontId="7" type="noConversion"/>
  </si>
  <si>
    <t>Aegis management assumption</t>
    <phoneticPr fontId="7" type="noConversion"/>
  </si>
  <si>
    <t>Total Recycle Emission saving</t>
  </si>
  <si>
    <t>Capital Recovery Factor</t>
    <phoneticPr fontId="7" type="noConversion"/>
  </si>
  <si>
    <t>Truck fuel economy annual increase rate</t>
  </si>
  <si>
    <t>Energy save compared to when full-loaded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</si>
</sst>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  <numFmt numFmtId="166" formatCode="0.0%"/>
    <numFmt numFmtId="167" formatCode="0.00_);[Red]\(0.00\)"/>
    <numFmt numFmtId="168" formatCode="0_);[Red]\(0\)"/>
    <numFmt numFmtId="169" formatCode="_-* #,##0.000_-;\-* #,##0.000_-;_-* &quot;-&quot;??_-;_-@_-"/>
    <numFmt numFmtId="170" formatCode="_ * #,##0_ ;_ * \-#,##0_ ;_ * &quot;-&quot;??_ ;_ @_ "/>
    <numFmt numFmtId="171" formatCode="_-* #,##0.00000_-;\-* #,##0.00000_-;_-* &quot;-&quot;??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18"/>
      <color theme="1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9"/>
      <name val="Aptos Narrow"/>
      <family val="3"/>
      <charset val="134"/>
      <scheme val="minor"/>
    </font>
    <font>
      <sz val="9"/>
      <color rgb="FFFF0000"/>
      <name val="Calibri"/>
      <family val="2"/>
    </font>
    <font>
      <b/>
      <sz val="9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sz val="10"/>
      <color theme="1"/>
      <name val="Aptos Narrow"/>
      <family val="3"/>
      <charset val="134"/>
      <scheme val="minor"/>
    </font>
    <font>
      <b/>
      <sz val="10"/>
      <color theme="1"/>
      <name val="Aptos Narrow"/>
      <family val="3"/>
      <charset val="134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8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42D43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</cellStyleXfs>
  <cellXfs count="253">
    <xf numFmtId="0" fontId="0" fillId="0" borderId="0" xfId="0"/>
    <xf numFmtId="0" fontId="3" fillId="0" borderId="0" xfId="0" applyFont="1" applyAlignment="1">
      <alignment horizontal="justify" vertical="center" wrapText="1"/>
    </xf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justify" vertical="center" wrapText="1"/>
    </xf>
    <xf numFmtId="0" fontId="2" fillId="3" borderId="0" xfId="0" applyFont="1" applyFill="1" applyAlignment="1">
      <alignment horizontal="justify" vertical="center" wrapText="1"/>
    </xf>
    <xf numFmtId="0" fontId="2" fillId="0" borderId="1" xfId="0" applyFont="1" applyBorder="1"/>
    <xf numFmtId="0" fontId="2" fillId="3" borderId="0" xfId="0" applyFont="1" applyFill="1" applyAlignment="1">
      <alignment horizontal="justify" vertical="center"/>
    </xf>
    <xf numFmtId="0" fontId="4" fillId="0" borderId="0" xfId="0" applyFont="1"/>
    <xf numFmtId="0" fontId="5" fillId="2" borderId="0" xfId="0" applyFont="1" applyFill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5" fillId="4" borderId="0" xfId="0" applyFont="1" applyFill="1"/>
    <xf numFmtId="0" fontId="5" fillId="2" borderId="0" xfId="0" applyFont="1" applyFill="1"/>
    <xf numFmtId="0" fontId="2" fillId="5" borderId="0" xfId="0" applyFont="1" applyFill="1" applyAlignment="1">
      <alignment horizontal="justify" vertical="center"/>
    </xf>
    <xf numFmtId="9" fontId="3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43" fontId="3" fillId="0" borderId="0" xfId="1" applyFont="1" applyAlignment="1">
      <alignment horizontal="right"/>
    </xf>
    <xf numFmtId="0" fontId="3" fillId="6" borderId="0" xfId="0" applyFont="1" applyFill="1"/>
    <xf numFmtId="0" fontId="2" fillId="7" borderId="0" xfId="0" applyFont="1" applyFill="1"/>
    <xf numFmtId="0" fontId="3" fillId="7" borderId="0" xfId="0" applyFont="1" applyFill="1"/>
    <xf numFmtId="0" fontId="3" fillId="7" borderId="0" xfId="0" applyFont="1" applyFill="1" applyAlignment="1">
      <alignment wrapText="1"/>
    </xf>
    <xf numFmtId="43" fontId="2" fillId="3" borderId="0" xfId="1" applyFont="1" applyFill="1" applyAlignment="1">
      <alignment horizontal="right" vertical="center" wrapText="1"/>
    </xf>
    <xf numFmtId="2" fontId="3" fillId="7" borderId="0" xfId="1" applyNumberFormat="1" applyFont="1" applyFill="1" applyAlignment="1">
      <alignment horizontal="right"/>
    </xf>
    <xf numFmtId="0" fontId="3" fillId="0" borderId="0" xfId="1" applyNumberFormat="1" applyFont="1" applyAlignment="1">
      <alignment horizontal="right"/>
    </xf>
    <xf numFmtId="0" fontId="2" fillId="3" borderId="0" xfId="1" applyNumberFormat="1" applyFont="1" applyFill="1" applyAlignment="1">
      <alignment horizontal="right" vertical="center" wrapText="1"/>
    </xf>
    <xf numFmtId="2" fontId="2" fillId="3" borderId="0" xfId="1" applyNumberFormat="1" applyFont="1" applyFill="1" applyAlignment="1">
      <alignment horizontal="right" vertical="center" wrapText="1"/>
    </xf>
    <xf numFmtId="43" fontId="5" fillId="2" borderId="0" xfId="1" applyFont="1" applyFill="1" applyAlignment="1">
      <alignment horizontal="left" vertical="center" wrapText="1"/>
    </xf>
    <xf numFmtId="0" fontId="5" fillId="2" borderId="0" xfId="1" applyNumberFormat="1" applyFont="1" applyFill="1" applyAlignment="1">
      <alignment horizontal="left" vertical="center" wrapText="1"/>
    </xf>
    <xf numFmtId="0" fontId="3" fillId="8" borderId="0" xfId="0" applyFont="1" applyFill="1"/>
    <xf numFmtId="0" fontId="3" fillId="10" borderId="0" xfId="0" applyFont="1" applyFill="1"/>
    <xf numFmtId="1" fontId="3" fillId="0" borderId="0" xfId="0" applyNumberFormat="1" applyFont="1"/>
    <xf numFmtId="0" fontId="2" fillId="5" borderId="0" xfId="0" applyFont="1" applyFill="1"/>
    <xf numFmtId="166" fontId="3" fillId="0" borderId="0" xfId="0" applyNumberFormat="1" applyFont="1"/>
    <xf numFmtId="0" fontId="9" fillId="0" borderId="0" xfId="0" applyFont="1" applyAlignment="1">
      <alignment horizontal="justify" vertical="center"/>
    </xf>
    <xf numFmtId="0" fontId="12" fillId="0" borderId="0" xfId="0" applyFont="1"/>
    <xf numFmtId="0" fontId="13" fillId="0" borderId="0" xfId="0" applyFont="1" applyAlignment="1">
      <alignment horizontal="justify" vertical="center"/>
    </xf>
    <xf numFmtId="0" fontId="13" fillId="0" borderId="0" xfId="0" applyFont="1"/>
    <xf numFmtId="0" fontId="13" fillId="0" borderId="0" xfId="0" applyFont="1" applyAlignment="1">
      <alignment horizontal="center"/>
    </xf>
    <xf numFmtId="9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2" fillId="4" borderId="0" xfId="0" applyFont="1" applyFill="1"/>
    <xf numFmtId="0" fontId="3" fillId="4" borderId="0" xfId="0" applyFont="1" applyFill="1"/>
    <xf numFmtId="0" fontId="3" fillId="4" borderId="0" xfId="1" applyNumberFormat="1" applyFont="1" applyFill="1" applyAlignment="1">
      <alignment horizontal="right"/>
    </xf>
    <xf numFmtId="0" fontId="3" fillId="4" borderId="0" xfId="0" applyFont="1" applyFill="1" applyAlignment="1">
      <alignment wrapText="1"/>
    </xf>
    <xf numFmtId="0" fontId="2" fillId="2" borderId="0" xfId="0" applyFont="1" applyFill="1" applyAlignment="1">
      <alignment horizontal="justify" vertical="center"/>
    </xf>
    <xf numFmtId="0" fontId="2" fillId="2" borderId="0" xfId="0" applyFont="1" applyFill="1" applyAlignment="1">
      <alignment horizontal="justify" vertical="center" wrapText="1"/>
    </xf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2" fillId="4" borderId="0" xfId="1" applyNumberFormat="1" applyFont="1" applyFill="1" applyAlignment="1">
      <alignment horizontal="right"/>
    </xf>
    <xf numFmtId="0" fontId="2" fillId="4" borderId="0" xfId="0" applyFont="1" applyFill="1" applyAlignment="1">
      <alignment wrapText="1"/>
    </xf>
    <xf numFmtId="0" fontId="2" fillId="2" borderId="0" xfId="1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wrapText="1"/>
    </xf>
    <xf numFmtId="0" fontId="2" fillId="6" borderId="0" xfId="0" applyFont="1" applyFill="1"/>
    <xf numFmtId="0" fontId="2" fillId="6" borderId="0" xfId="1" applyNumberFormat="1" applyFont="1" applyFill="1" applyAlignment="1">
      <alignment horizontal="right"/>
    </xf>
    <xf numFmtId="0" fontId="2" fillId="6" borderId="0" xfId="0" applyFont="1" applyFill="1" applyAlignment="1">
      <alignment wrapText="1"/>
    </xf>
    <xf numFmtId="0" fontId="2" fillId="9" borderId="0" xfId="0" applyFont="1" applyFill="1"/>
    <xf numFmtId="0" fontId="2" fillId="9" borderId="0" xfId="1" applyNumberFormat="1" applyFont="1" applyFill="1" applyAlignment="1">
      <alignment horizontal="right"/>
    </xf>
    <xf numFmtId="0" fontId="2" fillId="9" borderId="0" xfId="0" applyFont="1" applyFill="1" applyAlignment="1">
      <alignment wrapText="1"/>
    </xf>
    <xf numFmtId="165" fontId="2" fillId="0" borderId="0" xfId="1" applyNumberFormat="1" applyFont="1" applyFill="1" applyAlignment="1">
      <alignment horizontal="right" vertical="center" wrapText="1"/>
    </xf>
    <xf numFmtId="43" fontId="3" fillId="0" borderId="0" xfId="1" applyFont="1" applyFill="1" applyAlignment="1">
      <alignment horizontal="right"/>
    </xf>
    <xf numFmtId="43" fontId="3" fillId="4" borderId="0" xfId="1" applyFont="1" applyFill="1" applyAlignment="1">
      <alignment horizontal="right"/>
    </xf>
    <xf numFmtId="43" fontId="2" fillId="2" borderId="0" xfId="1" applyFont="1" applyFill="1" applyAlignment="1">
      <alignment horizontal="left" vertical="center" wrapText="1"/>
    </xf>
    <xf numFmtId="43" fontId="2" fillId="4" borderId="0" xfId="1" applyFont="1" applyFill="1" applyAlignment="1">
      <alignment horizontal="right"/>
    </xf>
    <xf numFmtId="43" fontId="2" fillId="2" borderId="0" xfId="1" applyFont="1" applyFill="1" applyAlignment="1">
      <alignment horizontal="right" vertical="center" wrapText="1"/>
    </xf>
    <xf numFmtId="0" fontId="2" fillId="11" borderId="0" xfId="0" applyFont="1" applyFill="1" applyAlignment="1">
      <alignment horizontal="justify" vertical="center"/>
    </xf>
    <xf numFmtId="0" fontId="2" fillId="11" borderId="0" xfId="0" applyFont="1" applyFill="1" applyAlignment="1">
      <alignment horizontal="justify" vertical="center" wrapText="1"/>
    </xf>
    <xf numFmtId="0" fontId="2" fillId="11" borderId="0" xfId="1" applyNumberFormat="1" applyFont="1" applyFill="1" applyAlignment="1">
      <alignment horizontal="right" vertical="center" wrapText="1"/>
    </xf>
    <xf numFmtId="0" fontId="3" fillId="11" borderId="0" xfId="0" applyFont="1" applyFill="1" applyAlignment="1">
      <alignment wrapText="1"/>
    </xf>
    <xf numFmtId="0" fontId="3" fillId="11" borderId="0" xfId="0" applyFont="1" applyFill="1" applyAlignment="1">
      <alignment horizontal="justify" vertical="center" wrapText="1"/>
    </xf>
    <xf numFmtId="0" fontId="3" fillId="11" borderId="0" xfId="1" applyNumberFormat="1" applyFont="1" applyFill="1" applyAlignment="1">
      <alignment horizontal="right" vertical="center" wrapText="1"/>
    </xf>
    <xf numFmtId="0" fontId="14" fillId="11" borderId="0" xfId="3" applyFont="1" applyFill="1" applyAlignment="1">
      <alignment wrapText="1"/>
    </xf>
    <xf numFmtId="9" fontId="3" fillId="11" borderId="0" xfId="1" applyNumberFormat="1" applyFont="1" applyFill="1" applyAlignment="1">
      <alignment horizontal="right" vertical="center" wrapText="1"/>
    </xf>
    <xf numFmtId="43" fontId="2" fillId="11" borderId="0" xfId="1" applyFont="1" applyFill="1" applyAlignment="1">
      <alignment horizontal="right" vertical="center" wrapText="1"/>
    </xf>
    <xf numFmtId="9" fontId="3" fillId="11" borderId="0" xfId="2" applyFont="1" applyFill="1" applyAlignment="1">
      <alignment horizontal="right" vertical="center" wrapText="1"/>
    </xf>
    <xf numFmtId="0" fontId="3" fillId="11" borderId="0" xfId="0" applyFont="1" applyFill="1"/>
    <xf numFmtId="165" fontId="2" fillId="11" borderId="0" xfId="1" applyNumberFormat="1" applyFont="1" applyFill="1" applyAlignment="1">
      <alignment horizontal="right" vertical="center" wrapText="1"/>
    </xf>
    <xf numFmtId="0" fontId="3" fillId="11" borderId="0" xfId="1" applyNumberFormat="1" applyFont="1" applyFill="1" applyAlignment="1">
      <alignment horizontal="right"/>
    </xf>
    <xf numFmtId="164" fontId="3" fillId="11" borderId="0" xfId="0" applyNumberFormat="1" applyFont="1" applyFill="1" applyAlignment="1">
      <alignment wrapText="1"/>
    </xf>
    <xf numFmtId="0" fontId="2" fillId="11" borderId="0" xfId="0" applyFont="1" applyFill="1"/>
    <xf numFmtId="9" fontId="3" fillId="11" borderId="0" xfId="1" applyNumberFormat="1" applyFont="1" applyFill="1" applyAlignment="1">
      <alignment horizontal="right"/>
    </xf>
    <xf numFmtId="43" fontId="2" fillId="11" borderId="0" xfId="1" applyFont="1" applyFill="1" applyBorder="1" applyAlignment="1">
      <alignment horizontal="right"/>
    </xf>
    <xf numFmtId="0" fontId="2" fillId="11" borderId="0" xfId="0" applyFont="1" applyFill="1" applyAlignment="1">
      <alignment wrapText="1"/>
    </xf>
    <xf numFmtId="43" fontId="2" fillId="11" borderId="0" xfId="0" applyNumberFormat="1" applyFont="1" applyFill="1" applyAlignment="1">
      <alignment wrapText="1"/>
    </xf>
    <xf numFmtId="2" fontId="3" fillId="11" borderId="0" xfId="1" applyNumberFormat="1" applyFont="1" applyFill="1" applyAlignment="1">
      <alignment horizontal="right"/>
    </xf>
    <xf numFmtId="2" fontId="2" fillId="11" borderId="0" xfId="1" applyNumberFormat="1" applyFont="1" applyFill="1" applyAlignment="1">
      <alignment horizontal="right" vertical="center" wrapText="1"/>
    </xf>
    <xf numFmtId="0" fontId="8" fillId="11" borderId="0" xfId="0" applyFont="1" applyFill="1" applyAlignment="1">
      <alignment horizontal="justify" vertical="center" wrapText="1"/>
    </xf>
    <xf numFmtId="165" fontId="3" fillId="11" borderId="0" xfId="0" applyNumberFormat="1" applyFont="1" applyFill="1"/>
    <xf numFmtId="165" fontId="3" fillId="11" borderId="0" xfId="1" applyNumberFormat="1" applyFont="1" applyFill="1"/>
    <xf numFmtId="17" fontId="16" fillId="12" borderId="0" xfId="5" applyNumberFormat="1" applyFont="1" applyFill="1" applyAlignment="1">
      <alignment horizontal="center" vertical="center"/>
    </xf>
    <xf numFmtId="165" fontId="3" fillId="11" borderId="0" xfId="0" applyNumberFormat="1" applyFont="1" applyFill="1" applyAlignment="1">
      <alignment wrapText="1"/>
    </xf>
    <xf numFmtId="167" fontId="3" fillId="11" borderId="0" xfId="0" applyNumberFormat="1" applyFont="1" applyFill="1" applyAlignment="1">
      <alignment wrapText="1"/>
    </xf>
    <xf numFmtId="0" fontId="9" fillId="11" borderId="0" xfId="0" applyFont="1" applyFill="1" applyAlignment="1">
      <alignment horizontal="justify" vertical="center"/>
    </xf>
    <xf numFmtId="3" fontId="3" fillId="0" borderId="0" xfId="0" applyNumberFormat="1" applyFont="1"/>
    <xf numFmtId="164" fontId="3" fillId="11" borderId="0" xfId="0" applyNumberFormat="1" applyFont="1" applyFill="1" applyAlignment="1">
      <alignment horizontal="justify" vertical="center" wrapText="1"/>
    </xf>
    <xf numFmtId="165" fontId="3" fillId="11" borderId="0" xfId="0" applyNumberFormat="1" applyFont="1" applyFill="1" applyAlignment="1">
      <alignment horizontal="justify" vertical="center" wrapText="1"/>
    </xf>
    <xf numFmtId="165" fontId="3" fillId="10" borderId="0" xfId="1" applyNumberFormat="1" applyFont="1" applyFill="1" applyAlignment="1">
      <alignment horizontal="right" vertical="center" wrapText="1"/>
    </xf>
    <xf numFmtId="166" fontId="3" fillId="10" borderId="0" xfId="2" applyNumberFormat="1" applyFont="1" applyFill="1" applyAlignment="1">
      <alignment horizontal="right"/>
    </xf>
    <xf numFmtId="169" fontId="3" fillId="10" borderId="0" xfId="1" applyNumberFormat="1" applyFont="1" applyFill="1" applyAlignment="1">
      <alignment horizontal="right"/>
    </xf>
    <xf numFmtId="9" fontId="3" fillId="10" borderId="0" xfId="2" applyFont="1" applyFill="1" applyAlignment="1">
      <alignment horizontal="right" vertical="center" wrapText="1"/>
    </xf>
    <xf numFmtId="0" fontId="3" fillId="10" borderId="0" xfId="1" applyNumberFormat="1" applyFont="1" applyFill="1" applyAlignment="1">
      <alignment horizontal="right" vertical="center" wrapText="1"/>
    </xf>
    <xf numFmtId="166" fontId="3" fillId="10" borderId="0" xfId="1" applyNumberFormat="1" applyFont="1" applyFill="1" applyAlignment="1">
      <alignment horizontal="right" vertical="center" wrapText="1"/>
    </xf>
    <xf numFmtId="9" fontId="3" fillId="10" borderId="0" xfId="1" applyNumberFormat="1" applyFont="1" applyFill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10" fontId="3" fillId="10" borderId="0" xfId="1" applyNumberFormat="1" applyFont="1" applyFill="1" applyAlignment="1">
      <alignment horizontal="right" vertical="center" wrapText="1"/>
    </xf>
    <xf numFmtId="0" fontId="2" fillId="10" borderId="0" xfId="1" applyNumberFormat="1" applyFont="1" applyFill="1" applyAlignment="1">
      <alignment horizontal="right" vertical="center" wrapText="1"/>
    </xf>
    <xf numFmtId="1" fontId="3" fillId="10" borderId="0" xfId="1" applyNumberFormat="1" applyFont="1" applyFill="1" applyAlignment="1">
      <alignment horizontal="right" vertical="center" wrapText="1"/>
    </xf>
    <xf numFmtId="164" fontId="9" fillId="11" borderId="0" xfId="1" applyNumberFormat="1" applyFont="1" applyFill="1" applyAlignment="1">
      <alignment horizontal="right" vertical="center" wrapText="1"/>
    </xf>
    <xf numFmtId="0" fontId="8" fillId="10" borderId="0" xfId="1" applyNumberFormat="1" applyFont="1" applyFill="1" applyAlignment="1">
      <alignment horizontal="right" vertical="center" wrapText="1"/>
    </xf>
    <xf numFmtId="9" fontId="8" fillId="10" borderId="0" xfId="2" applyFont="1" applyFill="1" applyAlignment="1">
      <alignment horizontal="right" vertical="center" wrapText="1"/>
    </xf>
    <xf numFmtId="43" fontId="3" fillId="10" borderId="0" xfId="1" applyFont="1" applyFill="1" applyAlignment="1">
      <alignment horizontal="right" vertical="center" wrapText="1"/>
    </xf>
    <xf numFmtId="9" fontId="3" fillId="10" borderId="2" xfId="2" applyFont="1" applyFill="1" applyBorder="1" applyAlignment="1">
      <alignment horizontal="right" vertical="center" wrapText="1"/>
    </xf>
    <xf numFmtId="170" fontId="2" fillId="11" borderId="0" xfId="1" applyNumberFormat="1" applyFont="1" applyFill="1" applyAlignment="1">
      <alignment horizontal="right" wrapText="1"/>
    </xf>
    <xf numFmtId="164" fontId="2" fillId="11" borderId="0" xfId="1" applyNumberFormat="1" applyFont="1" applyFill="1" applyAlignment="1">
      <alignment horizontal="right" wrapText="1"/>
    </xf>
    <xf numFmtId="2" fontId="2" fillId="11" borderId="0" xfId="2" applyNumberFormat="1" applyFont="1" applyFill="1" applyBorder="1" applyAlignment="1">
      <alignment horizontal="right" vertical="center" wrapText="1"/>
    </xf>
    <xf numFmtId="165" fontId="2" fillId="11" borderId="0" xfId="1" applyNumberFormat="1" applyFont="1" applyFill="1" applyAlignment="1">
      <alignment horizontal="right"/>
    </xf>
    <xf numFmtId="170" fontId="2" fillId="11" borderId="0" xfId="1" applyNumberFormat="1" applyFont="1" applyFill="1" applyAlignment="1">
      <alignment horizontal="right"/>
    </xf>
    <xf numFmtId="43" fontId="2" fillId="11" borderId="0" xfId="1" applyFont="1" applyFill="1" applyAlignment="1">
      <alignment horizontal="right"/>
    </xf>
    <xf numFmtId="165" fontId="2" fillId="11" borderId="0" xfId="1" applyNumberFormat="1" applyFont="1" applyFill="1"/>
    <xf numFmtId="164" fontId="3" fillId="11" borderId="0" xfId="0" applyNumberFormat="1" applyFont="1" applyFill="1"/>
    <xf numFmtId="165" fontId="2" fillId="11" borderId="0" xfId="1" applyNumberFormat="1" applyFont="1" applyFill="1" applyBorder="1" applyAlignment="1">
      <alignment horizontal="right" vertical="center" wrapText="1"/>
    </xf>
    <xf numFmtId="0" fontId="2" fillId="11" borderId="0" xfId="0" quotePrefix="1" applyFont="1" applyFill="1"/>
    <xf numFmtId="165" fontId="2" fillId="11" borderId="0" xfId="1" applyNumberFormat="1" applyFont="1" applyFill="1" applyBorder="1" applyAlignment="1">
      <alignment horizontal="right" wrapText="1"/>
    </xf>
    <xf numFmtId="43" fontId="2" fillId="11" borderId="0" xfId="1" applyFont="1" applyFill="1" applyBorder="1" applyAlignment="1">
      <alignment wrapText="1"/>
    </xf>
    <xf numFmtId="165" fontId="2" fillId="11" borderId="0" xfId="1" applyNumberFormat="1" applyFont="1" applyFill="1" applyBorder="1" applyAlignment="1">
      <alignment horizontal="right"/>
    </xf>
    <xf numFmtId="43" fontId="3" fillId="11" borderId="0" xfId="1" applyFont="1" applyFill="1" applyAlignment="1">
      <alignment wrapText="1"/>
    </xf>
    <xf numFmtId="164" fontId="2" fillId="11" borderId="0" xfId="1" applyNumberFormat="1" applyFont="1" applyFill="1" applyAlignment="1">
      <alignment horizontal="right"/>
    </xf>
    <xf numFmtId="43" fontId="3" fillId="11" borderId="0" xfId="1" applyFont="1" applyFill="1" applyAlignment="1">
      <alignment horizontal="right"/>
    </xf>
    <xf numFmtId="0" fontId="2" fillId="11" borderId="1" xfId="0" applyFont="1" applyFill="1" applyBorder="1"/>
    <xf numFmtId="43" fontId="2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wrapText="1"/>
    </xf>
    <xf numFmtId="43" fontId="2" fillId="11" borderId="1" xfId="0" applyNumberFormat="1" applyFont="1" applyFill="1" applyBorder="1" applyAlignment="1">
      <alignment wrapText="1"/>
    </xf>
    <xf numFmtId="9" fontId="3" fillId="11" borderId="0" xfId="2" applyFont="1" applyFill="1" applyAlignment="1">
      <alignment horizontal="right"/>
    </xf>
    <xf numFmtId="2" fontId="2" fillId="11" borderId="0" xfId="1" applyNumberFormat="1" applyFont="1" applyFill="1" applyAlignment="1">
      <alignment horizontal="right"/>
    </xf>
    <xf numFmtId="0" fontId="2" fillId="11" borderId="0" xfId="1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6" fontId="2" fillId="11" borderId="0" xfId="0" applyNumberFormat="1" applyFont="1" applyFill="1" applyAlignment="1">
      <alignment horizontal="left" wrapText="1"/>
    </xf>
    <xf numFmtId="166" fontId="3" fillId="10" borderId="0" xfId="2" applyNumberFormat="1" applyFont="1" applyFill="1" applyAlignment="1">
      <alignment horizontal="right" vertical="center" wrapText="1"/>
    </xf>
    <xf numFmtId="9" fontId="3" fillId="10" borderId="0" xfId="2" applyFont="1" applyFill="1" applyBorder="1" applyAlignment="1">
      <alignment horizontal="right" vertical="center" wrapText="1"/>
    </xf>
    <xf numFmtId="0" fontId="2" fillId="11" borderId="0" xfId="0" applyFont="1" applyFill="1" applyAlignment="1">
      <alignment horizontal="right" wrapText="1"/>
    </xf>
    <xf numFmtId="0" fontId="5" fillId="11" borderId="0" xfId="1" applyNumberFormat="1" applyFont="1" applyFill="1" applyAlignment="1">
      <alignment horizontal="left" vertical="center" wrapText="1"/>
    </xf>
    <xf numFmtId="165" fontId="3" fillId="11" borderId="0" xfId="1" applyNumberFormat="1" applyFont="1" applyFill="1" applyAlignment="1">
      <alignment horizontal="right" vertical="center" wrapText="1"/>
    </xf>
    <xf numFmtId="166" fontId="3" fillId="11" borderId="0" xfId="2" applyNumberFormat="1" applyFont="1" applyFill="1" applyAlignment="1">
      <alignment horizontal="right"/>
    </xf>
    <xf numFmtId="169" fontId="3" fillId="11" borderId="0" xfId="1" applyNumberFormat="1" applyFont="1" applyFill="1" applyAlignment="1">
      <alignment horizontal="right"/>
    </xf>
    <xf numFmtId="166" fontId="3" fillId="11" borderId="0" xfId="1" applyNumberFormat="1" applyFont="1" applyFill="1" applyAlignment="1">
      <alignment horizontal="right" vertical="center" wrapText="1"/>
    </xf>
    <xf numFmtId="165" fontId="2" fillId="11" borderId="0" xfId="0" applyNumberFormat="1" applyFont="1" applyFill="1" applyAlignment="1">
      <alignment horizontal="right" vertical="center" wrapText="1"/>
    </xf>
    <xf numFmtId="1" fontId="3" fillId="11" borderId="0" xfId="1" applyNumberFormat="1" applyFont="1" applyFill="1" applyAlignment="1">
      <alignment horizontal="right" vertical="center" wrapText="1"/>
    </xf>
    <xf numFmtId="10" fontId="3" fillId="11" borderId="0" xfId="1" applyNumberFormat="1" applyFont="1" applyFill="1" applyAlignment="1">
      <alignment horizontal="right" vertical="center" wrapText="1"/>
    </xf>
    <xf numFmtId="0" fontId="8" fillId="11" borderId="0" xfId="1" applyNumberFormat="1" applyFont="1" applyFill="1" applyAlignment="1">
      <alignment horizontal="right" vertical="center" wrapText="1"/>
    </xf>
    <xf numFmtId="9" fontId="8" fillId="11" borderId="0" xfId="2" applyFont="1" applyFill="1" applyAlignment="1">
      <alignment horizontal="right" vertical="center" wrapText="1"/>
    </xf>
    <xf numFmtId="43" fontId="3" fillId="11" borderId="0" xfId="1" applyFont="1" applyFill="1" applyAlignment="1">
      <alignment horizontal="right" vertical="center" wrapText="1"/>
    </xf>
    <xf numFmtId="9" fontId="3" fillId="11" borderId="0" xfId="2" applyFont="1" applyFill="1" applyBorder="1" applyAlignment="1">
      <alignment horizontal="right" vertical="center" wrapText="1"/>
    </xf>
    <xf numFmtId="43" fontId="2" fillId="11" borderId="0" xfId="1" applyFont="1" applyFill="1" applyAlignment="1">
      <alignment horizontal="right" wrapText="1"/>
    </xf>
    <xf numFmtId="2" fontId="2" fillId="11" borderId="0" xfId="1" applyNumberFormat="1" applyFont="1" applyFill="1" applyAlignment="1">
      <alignment horizontal="right" wrapText="1"/>
    </xf>
    <xf numFmtId="164" fontId="3" fillId="11" borderId="0" xfId="1" applyNumberFormat="1" applyFont="1" applyFill="1" applyAlignment="1">
      <alignment horizontal="right"/>
    </xf>
    <xf numFmtId="0" fontId="6" fillId="11" borderId="0" xfId="0" applyFont="1" applyFill="1" applyAlignment="1">
      <alignment wrapText="1"/>
    </xf>
    <xf numFmtId="43" fontId="3" fillId="10" borderId="0" xfId="1" applyFont="1" applyFill="1" applyBorder="1" applyAlignment="1">
      <alignment horizontal="right" vertical="center" wrapText="1"/>
    </xf>
    <xf numFmtId="165" fontId="3" fillId="10" borderId="0" xfId="1" applyNumberFormat="1" applyFont="1" applyFill="1" applyBorder="1" applyAlignment="1">
      <alignment horizontal="right" vertical="center" wrapText="1"/>
    </xf>
    <xf numFmtId="0" fontId="5" fillId="13" borderId="0" xfId="0" applyFont="1" applyFill="1"/>
    <xf numFmtId="0" fontId="3" fillId="13" borderId="0" xfId="0" applyFont="1" applyFill="1"/>
    <xf numFmtId="43" fontId="3" fillId="13" borderId="0" xfId="1" applyFont="1" applyFill="1" applyAlignment="1">
      <alignment horizontal="right"/>
    </xf>
    <xf numFmtId="0" fontId="3" fillId="13" borderId="0" xfId="0" applyFont="1" applyFill="1" applyAlignment="1">
      <alignment wrapText="1"/>
    </xf>
    <xf numFmtId="0" fontId="5" fillId="14" borderId="0" xfId="0" applyFont="1" applyFill="1" applyAlignment="1">
      <alignment horizontal="justify" vertical="center"/>
    </xf>
    <xf numFmtId="0" fontId="5" fillId="14" borderId="0" xfId="0" applyFont="1" applyFill="1" applyAlignment="1">
      <alignment horizontal="justify" vertical="center" wrapText="1"/>
    </xf>
    <xf numFmtId="43" fontId="5" fillId="14" borderId="0" xfId="1" applyFont="1" applyFill="1" applyAlignment="1">
      <alignment horizontal="left" vertical="center" wrapText="1"/>
    </xf>
    <xf numFmtId="0" fontId="5" fillId="14" borderId="0" xfId="0" applyFont="1" applyFill="1" applyAlignment="1">
      <alignment wrapText="1"/>
    </xf>
    <xf numFmtId="0" fontId="2" fillId="7" borderId="0" xfId="0" applyFont="1" applyFill="1" applyAlignment="1">
      <alignment horizontal="justify" vertical="center"/>
    </xf>
    <xf numFmtId="0" fontId="2" fillId="7" borderId="0" xfId="0" applyFont="1" applyFill="1" applyAlignment="1">
      <alignment horizontal="justify" vertical="center" wrapText="1"/>
    </xf>
    <xf numFmtId="43" fontId="2" fillId="7" borderId="0" xfId="1" applyFont="1" applyFill="1" applyAlignment="1">
      <alignment horizontal="right" vertical="center" wrapText="1"/>
    </xf>
    <xf numFmtId="164" fontId="2" fillId="11" borderId="0" xfId="1" applyNumberFormat="1" applyFont="1" applyFill="1" applyAlignment="1">
      <alignment horizontal="right" vertical="center" wrapText="1"/>
    </xf>
    <xf numFmtId="164" fontId="2" fillId="11" borderId="0" xfId="0" applyNumberFormat="1" applyFont="1" applyFill="1"/>
    <xf numFmtId="43" fontId="3" fillId="11" borderId="0" xfId="1" applyFont="1" applyFill="1" applyBorder="1" applyAlignment="1">
      <alignment horizontal="right" vertical="center" wrapText="1"/>
    </xf>
    <xf numFmtId="165" fontId="3" fillId="11" borderId="0" xfId="1" applyNumberFormat="1" applyFont="1" applyFill="1" applyBorder="1" applyAlignment="1">
      <alignment horizontal="right" vertical="center" wrapText="1"/>
    </xf>
    <xf numFmtId="170" fontId="2" fillId="11" borderId="0" xfId="1" applyNumberFormat="1" applyFont="1" applyFill="1" applyBorder="1" applyAlignment="1">
      <alignment horizontal="right" wrapText="1"/>
    </xf>
    <xf numFmtId="164" fontId="2" fillId="11" borderId="0" xfId="1" applyNumberFormat="1" applyFont="1" applyFill="1" applyBorder="1" applyAlignment="1">
      <alignment horizontal="right" wrapText="1"/>
    </xf>
    <xf numFmtId="43" fontId="2" fillId="11" borderId="0" xfId="1" applyFont="1" applyFill="1" applyBorder="1" applyAlignment="1">
      <alignment horizontal="right" vertical="center" wrapText="1"/>
    </xf>
    <xf numFmtId="0" fontId="3" fillId="11" borderId="0" xfId="1" applyNumberFormat="1" applyFont="1" applyFill="1" applyBorder="1" applyAlignment="1">
      <alignment horizontal="right"/>
    </xf>
    <xf numFmtId="0" fontId="2" fillId="11" borderId="0" xfId="1" applyNumberFormat="1" applyFont="1" applyFill="1" applyBorder="1" applyAlignment="1">
      <alignment horizontal="right"/>
    </xf>
    <xf numFmtId="2" fontId="3" fillId="11" borderId="0" xfId="1" applyNumberFormat="1" applyFont="1" applyFill="1" applyBorder="1" applyAlignment="1">
      <alignment horizontal="right"/>
    </xf>
    <xf numFmtId="43" fontId="3" fillId="11" borderId="0" xfId="1" applyFont="1" applyFill="1" applyBorder="1" applyAlignment="1">
      <alignment horizontal="right"/>
    </xf>
    <xf numFmtId="43" fontId="3" fillId="11" borderId="0" xfId="0" applyNumberFormat="1" applyFont="1" applyFill="1"/>
    <xf numFmtId="2" fontId="2" fillId="11" borderId="0" xfId="1" applyNumberFormat="1" applyFont="1" applyFill="1" applyBorder="1" applyAlignment="1">
      <alignment horizontal="right"/>
    </xf>
    <xf numFmtId="166" fontId="2" fillId="10" borderId="0" xfId="2" applyNumberFormat="1" applyFont="1" applyFill="1" applyBorder="1" applyAlignment="1">
      <alignment horizontal="right"/>
    </xf>
    <xf numFmtId="169" fontId="2" fillId="10" borderId="0" xfId="1" applyNumberFormat="1" applyFont="1" applyFill="1" applyBorder="1" applyAlignment="1">
      <alignment horizontal="right"/>
    </xf>
    <xf numFmtId="166" fontId="3" fillId="10" borderId="0" xfId="1" applyNumberFormat="1" applyFont="1" applyFill="1" applyBorder="1" applyAlignment="1">
      <alignment horizontal="right" vertical="center" wrapText="1"/>
    </xf>
    <xf numFmtId="9" fontId="3" fillId="10" borderId="0" xfId="1" applyNumberFormat="1" applyFont="1" applyFill="1" applyBorder="1" applyAlignment="1">
      <alignment horizontal="right" vertical="center" wrapText="1"/>
    </xf>
    <xf numFmtId="0" fontId="3" fillId="10" borderId="0" xfId="1" applyNumberFormat="1" applyFont="1" applyFill="1" applyBorder="1" applyAlignment="1">
      <alignment horizontal="right" vertical="center" wrapText="1"/>
    </xf>
    <xf numFmtId="165" fontId="3" fillId="10" borderId="0" xfId="1" applyNumberFormat="1" applyFont="1" applyFill="1" applyBorder="1" applyAlignment="1">
      <alignment horizontal="justify" vertical="center" wrapText="1"/>
    </xf>
    <xf numFmtId="165" fontId="8" fillId="10" borderId="0" xfId="1" applyNumberFormat="1" applyFont="1" applyFill="1" applyBorder="1" applyAlignment="1">
      <alignment horizontal="right" vertical="center" wrapText="1"/>
    </xf>
    <xf numFmtId="43" fontId="2" fillId="10" borderId="0" xfId="1" applyFont="1" applyFill="1" applyBorder="1" applyAlignment="1">
      <alignment horizontal="right"/>
    </xf>
    <xf numFmtId="165" fontId="2" fillId="10" borderId="0" xfId="1" applyNumberFormat="1" applyFont="1" applyFill="1" applyBorder="1" applyAlignment="1">
      <alignment horizontal="right" vertical="center" wrapText="1"/>
    </xf>
    <xf numFmtId="164" fontId="2" fillId="10" borderId="0" xfId="1" applyNumberFormat="1" applyFont="1" applyFill="1" applyBorder="1" applyAlignment="1">
      <alignment horizontal="right" vertical="center" wrapText="1"/>
    </xf>
    <xf numFmtId="166" fontId="3" fillId="10" borderId="0" xfId="2" applyNumberFormat="1" applyFont="1" applyFill="1" applyBorder="1" applyAlignment="1">
      <alignment horizontal="right" vertical="center" wrapText="1"/>
    </xf>
    <xf numFmtId="9" fontId="3" fillId="10" borderId="0" xfId="1" applyNumberFormat="1" applyFont="1" applyFill="1" applyBorder="1" applyAlignment="1">
      <alignment horizontal="right"/>
    </xf>
    <xf numFmtId="167" fontId="2" fillId="11" borderId="0" xfId="1" applyNumberFormat="1" applyFont="1" applyFill="1" applyBorder="1" applyAlignment="1">
      <alignment horizontal="right"/>
    </xf>
    <xf numFmtId="9" fontId="3" fillId="10" borderId="0" xfId="1" applyNumberFormat="1" applyFont="1" applyFill="1" applyAlignment="1">
      <alignment horizontal="right"/>
    </xf>
    <xf numFmtId="0" fontId="2" fillId="7" borderId="3" xfId="0" applyFont="1" applyFill="1" applyBorder="1" applyAlignment="1">
      <alignment horizontal="justify" vertical="center"/>
    </xf>
    <xf numFmtId="0" fontId="2" fillId="7" borderId="4" xfId="0" applyFont="1" applyFill="1" applyBorder="1" applyAlignment="1">
      <alignment horizontal="justify" vertical="center"/>
    </xf>
    <xf numFmtId="0" fontId="2" fillId="7" borderId="5" xfId="0" applyFont="1" applyFill="1" applyBorder="1" applyAlignment="1">
      <alignment horizontal="justify" vertical="center"/>
    </xf>
    <xf numFmtId="0" fontId="2" fillId="11" borderId="6" xfId="0" applyFont="1" applyFill="1" applyBorder="1" applyAlignment="1">
      <alignment horizontal="justify" vertical="center"/>
    </xf>
    <xf numFmtId="43" fontId="3" fillId="10" borderId="7" xfId="1" applyFont="1" applyFill="1" applyBorder="1" applyAlignment="1">
      <alignment horizontal="right" vertical="center" wrapText="1"/>
    </xf>
    <xf numFmtId="165" fontId="3" fillId="10" borderId="7" xfId="1" applyNumberFormat="1" applyFont="1" applyFill="1" applyBorder="1" applyAlignment="1">
      <alignment horizontal="right" vertical="center" wrapText="1"/>
    </xf>
    <xf numFmtId="0" fontId="2" fillId="11" borderId="8" xfId="0" applyFont="1" applyFill="1" applyBorder="1" applyAlignment="1">
      <alignment horizontal="justify" vertical="center"/>
    </xf>
    <xf numFmtId="0" fontId="3" fillId="11" borderId="9" xfId="0" applyFont="1" applyFill="1" applyBorder="1" applyAlignment="1">
      <alignment horizontal="justify" vertical="center" wrapText="1"/>
    </xf>
    <xf numFmtId="43" fontId="2" fillId="11" borderId="10" xfId="1" applyFont="1" applyFill="1" applyBorder="1" applyAlignment="1">
      <alignment horizontal="right" vertical="center" wrapText="1"/>
    </xf>
    <xf numFmtId="0" fontId="2" fillId="11" borderId="11" xfId="0" applyFont="1" applyFill="1" applyBorder="1" applyAlignment="1">
      <alignment horizontal="justify" vertical="center"/>
    </xf>
    <xf numFmtId="0" fontId="3" fillId="11" borderId="11" xfId="0" applyFont="1" applyFill="1" applyBorder="1" applyAlignment="1">
      <alignment horizontal="justify" vertical="center" wrapText="1"/>
    </xf>
    <xf numFmtId="43" fontId="2" fillId="11" borderId="11" xfId="1" applyFont="1" applyFill="1" applyBorder="1" applyAlignment="1">
      <alignment horizontal="right"/>
    </xf>
    <xf numFmtId="165" fontId="2" fillId="11" borderId="11" xfId="1" applyNumberFormat="1" applyFont="1" applyFill="1" applyBorder="1" applyAlignment="1">
      <alignment horizontal="right"/>
    </xf>
    <xf numFmtId="0" fontId="2" fillId="11" borderId="11" xfId="0" applyFont="1" applyFill="1" applyBorder="1"/>
    <xf numFmtId="164" fontId="2" fillId="11" borderId="11" xfId="1" applyNumberFormat="1" applyFont="1" applyFill="1" applyBorder="1" applyAlignment="1">
      <alignment horizontal="right" wrapText="1"/>
    </xf>
    <xf numFmtId="169" fontId="3" fillId="10" borderId="0" xfId="1" applyNumberFormat="1" applyFont="1" applyFill="1" applyAlignment="1">
      <alignment horizontal="right" vertical="center" wrapText="1"/>
    </xf>
    <xf numFmtId="43" fontId="2" fillId="11" borderId="11" xfId="1" applyFont="1" applyFill="1" applyBorder="1" applyAlignment="1">
      <alignment horizontal="right" vertical="center" wrapText="1"/>
    </xf>
    <xf numFmtId="0" fontId="3" fillId="11" borderId="0" xfId="0" applyFont="1" applyFill="1" applyAlignment="1">
      <alignment vertical="top" wrapText="1"/>
    </xf>
    <xf numFmtId="43" fontId="2" fillId="10" borderId="0" xfId="1" applyFont="1" applyFill="1" applyAlignment="1">
      <alignment horizontal="right" vertical="center" wrapText="1"/>
    </xf>
    <xf numFmtId="43" fontId="2" fillId="11" borderId="0" xfId="1" quotePrefix="1" applyFont="1" applyFill="1" applyBorder="1" applyAlignment="1">
      <alignment horizontal="right"/>
    </xf>
    <xf numFmtId="0" fontId="2" fillId="3" borderId="3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 wrapText="1"/>
    </xf>
    <xf numFmtId="43" fontId="2" fillId="3" borderId="5" xfId="1" applyFont="1" applyFill="1" applyBorder="1" applyAlignment="1">
      <alignment horizontal="right" vertical="center" wrapText="1"/>
    </xf>
    <xf numFmtId="165" fontId="3" fillId="10" borderId="10" xfId="1" applyNumberFormat="1" applyFont="1" applyFill="1" applyBorder="1" applyAlignment="1">
      <alignment horizontal="right" vertical="center" wrapText="1"/>
    </xf>
    <xf numFmtId="166" fontId="3" fillId="10" borderId="0" xfId="2" applyNumberFormat="1" applyFont="1" applyFill="1" applyBorder="1" applyAlignment="1">
      <alignment horizontal="right"/>
    </xf>
    <xf numFmtId="168" fontId="3" fillId="10" borderId="0" xfId="1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/>
    </xf>
    <xf numFmtId="0" fontId="2" fillId="5" borderId="11" xfId="0" applyFont="1" applyFill="1" applyBorder="1"/>
    <xf numFmtId="0" fontId="3" fillId="11" borderId="11" xfId="0" applyFont="1" applyFill="1" applyBorder="1"/>
    <xf numFmtId="0" fontId="2" fillId="11" borderId="12" xfId="0" applyFont="1" applyFill="1" applyBorder="1"/>
    <xf numFmtId="0" fontId="3" fillId="11" borderId="12" xfId="0" applyFont="1" applyFill="1" applyBorder="1"/>
    <xf numFmtId="43" fontId="2" fillId="11" borderId="12" xfId="1" applyFont="1" applyFill="1" applyBorder="1" applyAlignment="1">
      <alignment horizontal="right"/>
    </xf>
    <xf numFmtId="2" fontId="3" fillId="10" borderId="0" xfId="1" applyNumberFormat="1" applyFont="1" applyFill="1" applyBorder="1" applyAlignment="1">
      <alignment horizontal="right"/>
    </xf>
    <xf numFmtId="2" fontId="3" fillId="10" borderId="0" xfId="1" applyNumberFormat="1" applyFont="1" applyFill="1" applyAlignment="1">
      <alignment horizontal="right"/>
    </xf>
    <xf numFmtId="169" fontId="3" fillId="10" borderId="0" xfId="1" applyNumberFormat="1" applyFont="1" applyFill="1" applyBorder="1" applyAlignment="1">
      <alignment horizontal="right" wrapText="1"/>
    </xf>
    <xf numFmtId="165" fontId="3" fillId="10" borderId="0" xfId="1" applyNumberFormat="1" applyFont="1" applyFill="1" applyBorder="1" applyAlignment="1">
      <alignment horizontal="justify" vertical="center"/>
    </xf>
    <xf numFmtId="168" fontId="2" fillId="11" borderId="0" xfId="1" applyNumberFormat="1" applyFont="1" applyFill="1" applyBorder="1" applyAlignment="1">
      <alignment horizontal="right" wrapText="1"/>
    </xf>
    <xf numFmtId="168" fontId="2" fillId="11" borderId="0" xfId="1" applyNumberFormat="1" applyFont="1" applyFill="1" applyBorder="1" applyAlignment="1">
      <alignment horizontal="right" vertical="center" wrapText="1"/>
    </xf>
    <xf numFmtId="168" fontId="2" fillId="11" borderId="0" xfId="1" applyNumberFormat="1" applyFont="1" applyFill="1" applyBorder="1" applyAlignment="1">
      <alignment horizontal="right"/>
    </xf>
    <xf numFmtId="167" fontId="2" fillId="0" borderId="0" xfId="1" applyNumberFormat="1" applyFont="1" applyAlignment="1">
      <alignment horizontal="right"/>
    </xf>
    <xf numFmtId="165" fontId="3" fillId="11" borderId="0" xfId="1" applyNumberFormat="1" applyFont="1" applyFill="1" applyAlignment="1">
      <alignment horizontal="right"/>
    </xf>
    <xf numFmtId="171" fontId="3" fillId="11" borderId="0" xfId="1" applyNumberFormat="1" applyFont="1" applyFill="1" applyAlignment="1">
      <alignment horizontal="right"/>
    </xf>
    <xf numFmtId="165" fontId="2" fillId="10" borderId="0" xfId="1" applyNumberFormat="1" applyFont="1" applyFill="1" applyBorder="1" applyAlignment="1">
      <alignment horizontal="right"/>
    </xf>
    <xf numFmtId="0" fontId="3" fillId="11" borderId="0" xfId="2" applyNumberFormat="1" applyFont="1" applyFill="1" applyAlignment="1">
      <alignment horizontal="right"/>
    </xf>
    <xf numFmtId="9" fontId="2" fillId="11" borderId="0" xfId="2" applyFont="1" applyFill="1" applyAlignment="1">
      <alignment horizontal="justify" vertical="center" wrapText="1"/>
    </xf>
    <xf numFmtId="164" fontId="2" fillId="11" borderId="0" xfId="0" applyNumberFormat="1" applyFont="1" applyFill="1" applyAlignment="1">
      <alignment horizontal="justify" vertical="center" wrapText="1"/>
    </xf>
    <xf numFmtId="169" fontId="2" fillId="11" borderId="0" xfId="1" applyNumberFormat="1" applyFont="1" applyFill="1" applyAlignment="1">
      <alignment horizontal="righ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center"/>
    </xf>
  </cellXfs>
  <cellStyles count="6">
    <cellStyle name="Comma" xfId="1" builtinId="3"/>
    <cellStyle name="Comma 2" xfId="4" xr:uid="{3C2FD23E-0105-4A7E-8817-5B7BD2FDBBE1}"/>
    <cellStyle name="Hyperlink" xfId="3" builtinId="8"/>
    <cellStyle name="Normal" xfId="0" builtinId="0"/>
    <cellStyle name="Normal 8" xfId="5" xr:uid="{D6312F6E-55D4-48EA-8497-F1ABF912FD3C}"/>
    <cellStyle name="Per cent" xfId="2" builtinId="5"/>
  </cellStyles>
  <dxfs count="0"/>
  <tableStyles count="0" defaultTableStyle="TableStyleMedium2" defaultPivotStyle="PivotStyleLight16"/>
  <colors>
    <mruColors>
      <color rgb="FF2575F0"/>
      <color rgb="FF14D3D3"/>
      <color rgb="FFFFA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A810-B397-4AC5-B79B-636A5848C5D4}">
  <sheetPr>
    <tabColor rgb="FF7030A0"/>
  </sheetPr>
  <dimension ref="A1:M296"/>
  <sheetViews>
    <sheetView tabSelected="1" topLeftCell="A6" zoomScale="114" zoomScaleNormal="70" workbookViewId="0">
      <selection activeCell="E15" sqref="E15"/>
    </sheetView>
  </sheetViews>
  <sheetFormatPr defaultColWidth="8.7265625" defaultRowHeight="12" x14ac:dyDescent="0.3"/>
  <cols>
    <col min="1" max="1" width="36.453125" style="3" customWidth="1"/>
    <col min="2" max="2" width="10.26953125" style="3" customWidth="1"/>
    <col min="3" max="3" width="15.453125" style="27" customWidth="1"/>
    <col min="4" max="4" width="4" style="82" customWidth="1"/>
    <col min="5" max="5" width="35.08984375" style="3" customWidth="1"/>
    <col min="6" max="6" width="13.453125" style="3" customWidth="1"/>
    <col min="7" max="7" width="15" style="65" customWidth="1"/>
    <col min="8" max="8" width="4.1796875" style="80" customWidth="1"/>
    <col min="9" max="9" width="36.453125" style="3" customWidth="1"/>
    <col min="10" max="10" width="13.453125" style="3" customWidth="1"/>
    <col min="11" max="11" width="16.1796875" style="20" customWidth="1"/>
    <col min="12" max="16384" width="8.7265625" style="3"/>
  </cols>
  <sheetData>
    <row r="1" spans="1:13" x14ac:dyDescent="0.3">
      <c r="A1" s="33" t="s">
        <v>410</v>
      </c>
    </row>
    <row r="2" spans="1:13" x14ac:dyDescent="0.3">
      <c r="A2" s="2"/>
    </row>
    <row r="4" spans="1:13" ht="23.5" x14ac:dyDescent="0.55000000000000004">
      <c r="A4" s="8" t="s">
        <v>114</v>
      </c>
      <c r="E4" s="8" t="s">
        <v>394</v>
      </c>
      <c r="I4" s="8" t="s">
        <v>411</v>
      </c>
    </row>
    <row r="6" spans="1:13" x14ac:dyDescent="0.3">
      <c r="A6" s="11" t="s">
        <v>0</v>
      </c>
      <c r="B6" s="47"/>
      <c r="C6" s="48"/>
      <c r="E6" s="163" t="s">
        <v>391</v>
      </c>
      <c r="F6" s="164"/>
      <c r="G6" s="165"/>
      <c r="I6" s="46" t="s">
        <v>0</v>
      </c>
      <c r="J6" s="47"/>
      <c r="K6" s="66"/>
    </row>
    <row r="7" spans="1:13" ht="76" customHeight="1" x14ac:dyDescent="0.3">
      <c r="A7" s="249" t="s">
        <v>285</v>
      </c>
      <c r="B7" s="249"/>
      <c r="C7" s="249"/>
      <c r="D7" s="144"/>
      <c r="E7" s="249" t="s">
        <v>286</v>
      </c>
      <c r="F7" s="249"/>
      <c r="G7" s="249"/>
      <c r="I7" s="249" t="s">
        <v>287</v>
      </c>
      <c r="J7" s="249"/>
      <c r="K7" s="249"/>
      <c r="L7" s="15"/>
      <c r="M7" s="15"/>
    </row>
    <row r="8" spans="1:13" ht="24" x14ac:dyDescent="0.3">
      <c r="A8" s="9" t="s">
        <v>1</v>
      </c>
      <c r="B8" s="4" t="s">
        <v>2</v>
      </c>
      <c r="C8" s="31" t="s">
        <v>115</v>
      </c>
      <c r="D8" s="145"/>
      <c r="E8" s="31" t="s">
        <v>1</v>
      </c>
      <c r="F8" s="31" t="s">
        <v>2</v>
      </c>
      <c r="G8" s="31" t="s">
        <v>115</v>
      </c>
      <c r="I8" s="9" t="s">
        <v>1</v>
      </c>
      <c r="J8" s="4" t="s">
        <v>2</v>
      </c>
      <c r="K8" s="30" t="s">
        <v>115</v>
      </c>
    </row>
    <row r="9" spans="1:13" x14ac:dyDescent="0.3">
      <c r="A9" s="7" t="s">
        <v>13</v>
      </c>
      <c r="B9" s="5"/>
      <c r="C9" s="28"/>
      <c r="D9" s="72"/>
      <c r="E9" s="171" t="s">
        <v>13</v>
      </c>
      <c r="F9" s="172"/>
      <c r="G9" s="173"/>
      <c r="I9" s="7" t="s">
        <v>13</v>
      </c>
      <c r="J9" s="5"/>
      <c r="K9" s="25"/>
    </row>
    <row r="10" spans="1:13" x14ac:dyDescent="0.3">
      <c r="A10" s="70" t="s">
        <v>352</v>
      </c>
      <c r="B10" s="74" t="s">
        <v>129</v>
      </c>
      <c r="C10" s="101">
        <v>130000</v>
      </c>
      <c r="D10" s="146"/>
      <c r="E10" s="70" t="s">
        <v>369</v>
      </c>
      <c r="F10" s="74" t="s">
        <v>129</v>
      </c>
      <c r="G10" s="237">
        <f>C10</f>
        <v>130000</v>
      </c>
      <c r="I10" s="70"/>
      <c r="J10" s="74"/>
      <c r="K10" s="155"/>
    </row>
    <row r="11" spans="1:13" ht="24" x14ac:dyDescent="0.3">
      <c r="A11" s="70" t="s">
        <v>361</v>
      </c>
      <c r="B11" s="74" t="s">
        <v>362</v>
      </c>
      <c r="C11" s="105">
        <v>3</v>
      </c>
      <c r="D11" s="147"/>
      <c r="E11" s="70" t="s">
        <v>125</v>
      </c>
      <c r="F11" s="74" t="s">
        <v>126</v>
      </c>
      <c r="G11" s="162">
        <v>513</v>
      </c>
      <c r="I11" s="70" t="s">
        <v>279</v>
      </c>
      <c r="J11" s="74" t="s">
        <v>14</v>
      </c>
      <c r="K11" s="101">
        <v>144900</v>
      </c>
    </row>
    <row r="12" spans="1:13" x14ac:dyDescent="0.3">
      <c r="A12" s="70" t="s">
        <v>250</v>
      </c>
      <c r="B12" s="74" t="s">
        <v>118</v>
      </c>
      <c r="C12" s="102">
        <v>7.4999999999999997E-2</v>
      </c>
      <c r="D12" s="148"/>
      <c r="E12" s="70" t="s">
        <v>128</v>
      </c>
      <c r="F12" s="74" t="s">
        <v>7</v>
      </c>
      <c r="G12" s="162">
        <f>C29</f>
        <v>148</v>
      </c>
      <c r="I12" s="70" t="s">
        <v>255</v>
      </c>
      <c r="J12" s="74" t="s">
        <v>118</v>
      </c>
      <c r="K12" s="142">
        <f>C12</f>
        <v>7.4999999999999997E-2</v>
      </c>
    </row>
    <row r="13" spans="1:13" x14ac:dyDescent="0.3">
      <c r="A13" s="70" t="s">
        <v>251</v>
      </c>
      <c r="B13" s="74" t="s">
        <v>14</v>
      </c>
      <c r="C13" s="103">
        <v>9.5000000000000001E-2</v>
      </c>
      <c r="D13" s="79"/>
      <c r="E13" s="210" t="s">
        <v>56</v>
      </c>
      <c r="F13" s="211" t="s">
        <v>14</v>
      </c>
      <c r="G13" s="213">
        <f>G10+G11*G12</f>
        <v>205924</v>
      </c>
      <c r="I13" s="70" t="s">
        <v>256</v>
      </c>
      <c r="J13" s="74" t="s">
        <v>14</v>
      </c>
      <c r="K13" s="216">
        <f>C13</f>
        <v>9.5000000000000001E-2</v>
      </c>
    </row>
    <row r="14" spans="1:13" x14ac:dyDescent="0.3">
      <c r="A14" s="70" t="s">
        <v>393</v>
      </c>
      <c r="B14" s="74" t="s">
        <v>118</v>
      </c>
      <c r="C14" s="104">
        <v>0.2</v>
      </c>
      <c r="D14" s="75"/>
      <c r="E14" s="70" t="s">
        <v>250</v>
      </c>
      <c r="F14" s="74" t="s">
        <v>118</v>
      </c>
      <c r="G14" s="225">
        <f>C12</f>
        <v>7.4999999999999997E-2</v>
      </c>
      <c r="I14" s="70" t="s">
        <v>58</v>
      </c>
      <c r="J14" s="74" t="s">
        <v>11</v>
      </c>
      <c r="K14" s="101">
        <f>C15</f>
        <v>15</v>
      </c>
    </row>
    <row r="15" spans="1:13" x14ac:dyDescent="0.3">
      <c r="A15" s="70" t="s">
        <v>16</v>
      </c>
      <c r="B15" s="74" t="s">
        <v>11</v>
      </c>
      <c r="C15" s="105">
        <v>15</v>
      </c>
      <c r="D15" s="149"/>
      <c r="E15" s="70" t="s">
        <v>251</v>
      </c>
      <c r="F15" s="74" t="s">
        <v>14</v>
      </c>
      <c r="G15" s="236">
        <f>C13</f>
        <v>9.5000000000000001E-2</v>
      </c>
      <c r="I15" s="70" t="s">
        <v>370</v>
      </c>
      <c r="J15" s="74" t="s">
        <v>371</v>
      </c>
      <c r="K15" s="142">
        <f t="shared" ref="K15:K16" si="0">C16</f>
        <v>0.125</v>
      </c>
    </row>
    <row r="16" spans="1:13" x14ac:dyDescent="0.3">
      <c r="A16" s="70" t="s">
        <v>325</v>
      </c>
      <c r="B16" s="74" t="s">
        <v>118</v>
      </c>
      <c r="C16" s="106">
        <v>0.125</v>
      </c>
      <c r="D16" s="77"/>
      <c r="E16" s="70" t="s">
        <v>407</v>
      </c>
      <c r="F16" s="74" t="s">
        <v>118</v>
      </c>
      <c r="G16" s="143">
        <f>C14</f>
        <v>0.2</v>
      </c>
      <c r="I16" s="70" t="s">
        <v>372</v>
      </c>
      <c r="J16" s="74" t="s">
        <v>371</v>
      </c>
      <c r="K16" s="104">
        <f t="shared" si="0"/>
        <v>0.3</v>
      </c>
    </row>
    <row r="17" spans="1:11" x14ac:dyDescent="0.3">
      <c r="A17" s="70" t="s">
        <v>327</v>
      </c>
      <c r="B17" s="74" t="s">
        <v>118</v>
      </c>
      <c r="C17" s="107">
        <v>0.3</v>
      </c>
      <c r="D17" s="75"/>
      <c r="E17" s="70" t="s">
        <v>16</v>
      </c>
      <c r="F17" s="74" t="s">
        <v>11</v>
      </c>
      <c r="G17" s="162">
        <f>C15</f>
        <v>15</v>
      </c>
      <c r="I17" s="70" t="s">
        <v>373</v>
      </c>
      <c r="J17" s="74" t="s">
        <v>374</v>
      </c>
      <c r="K17" s="105">
        <f>C18</f>
        <v>5</v>
      </c>
    </row>
    <row r="18" spans="1:11" x14ac:dyDescent="0.3">
      <c r="A18" s="70" t="s">
        <v>330</v>
      </c>
      <c r="B18" s="74" t="s">
        <v>247</v>
      </c>
      <c r="C18" s="105">
        <v>5</v>
      </c>
      <c r="D18" s="81"/>
      <c r="E18" s="70" t="s">
        <v>370</v>
      </c>
      <c r="F18" s="74" t="s">
        <v>371</v>
      </c>
      <c r="G18" s="189">
        <f>C16</f>
        <v>0.125</v>
      </c>
      <c r="I18" s="70" t="s">
        <v>375</v>
      </c>
      <c r="J18" s="74" t="s">
        <v>14</v>
      </c>
      <c r="K18" s="81">
        <f>K11*(1-K16)</f>
        <v>101430</v>
      </c>
    </row>
    <row r="19" spans="1:11" x14ac:dyDescent="0.3">
      <c r="A19" s="70" t="s">
        <v>332</v>
      </c>
      <c r="B19" s="74" t="s">
        <v>14</v>
      </c>
      <c r="C19" s="81">
        <f>C10*(1-C17)</f>
        <v>91000</v>
      </c>
      <c r="D19" s="150"/>
      <c r="E19" s="70" t="s">
        <v>372</v>
      </c>
      <c r="F19" s="74" t="s">
        <v>371</v>
      </c>
      <c r="G19" s="190">
        <f t="shared" ref="G19:G20" si="1">C17</f>
        <v>0.3</v>
      </c>
      <c r="I19" s="70" t="s">
        <v>376</v>
      </c>
      <c r="J19" s="74" t="s">
        <v>14</v>
      </c>
      <c r="K19" s="150">
        <f>K11*K16</f>
        <v>43470</v>
      </c>
    </row>
    <row r="20" spans="1:11" x14ac:dyDescent="0.3">
      <c r="A20" s="70" t="s">
        <v>329</v>
      </c>
      <c r="B20" s="74" t="s">
        <v>14</v>
      </c>
      <c r="C20" s="108">
        <f>C10*C17</f>
        <v>39000</v>
      </c>
      <c r="D20" s="81"/>
      <c r="E20" s="70" t="s">
        <v>373</v>
      </c>
      <c r="F20" s="74" t="s">
        <v>374</v>
      </c>
      <c r="G20" s="226">
        <f t="shared" si="1"/>
        <v>5</v>
      </c>
      <c r="I20" s="70" t="s">
        <v>377</v>
      </c>
      <c r="J20" s="74" t="s">
        <v>14</v>
      </c>
      <c r="K20" s="81">
        <f>K11*(1-K16)*K15</f>
        <v>12678.75</v>
      </c>
    </row>
    <row r="21" spans="1:11" x14ac:dyDescent="0.3">
      <c r="A21" s="70" t="s">
        <v>328</v>
      </c>
      <c r="B21" s="74" t="s">
        <v>14</v>
      </c>
      <c r="C21" s="81">
        <f>C10*(1-C17)*C16</f>
        <v>11375</v>
      </c>
      <c r="D21" s="117"/>
      <c r="E21" s="70" t="s">
        <v>375</v>
      </c>
      <c r="F21" s="74" t="s">
        <v>14</v>
      </c>
      <c r="G21" s="125">
        <f>G13*(1-G19)</f>
        <v>144146.79999999999</v>
      </c>
      <c r="I21" s="84" t="s">
        <v>378</v>
      </c>
      <c r="J21" s="74" t="s">
        <v>14</v>
      </c>
      <c r="K21" s="117">
        <f>-PMT(12.5%,5,K18)</f>
        <v>28487.025179787677</v>
      </c>
    </row>
    <row r="22" spans="1:11" x14ac:dyDescent="0.3">
      <c r="A22" s="2" t="s">
        <v>333</v>
      </c>
      <c r="B22" s="74" t="s">
        <v>14</v>
      </c>
      <c r="C22" s="241">
        <f>-PMT(12.5%,5,C19)</f>
        <v>25557.717552604539</v>
      </c>
      <c r="D22" s="118"/>
      <c r="E22" s="70" t="s">
        <v>376</v>
      </c>
      <c r="F22" s="74" t="s">
        <v>14</v>
      </c>
      <c r="G22" s="150">
        <f>G13*G19</f>
        <v>61777.2</v>
      </c>
      <c r="I22" s="214" t="s">
        <v>389</v>
      </c>
      <c r="J22" s="211" t="s">
        <v>14</v>
      </c>
      <c r="K22" s="215">
        <f>K21*SUM(K98:K102)+K19</f>
        <v>151458.23815134444</v>
      </c>
    </row>
    <row r="23" spans="1:11" x14ac:dyDescent="0.3">
      <c r="A23" s="210" t="s">
        <v>335</v>
      </c>
      <c r="B23" s="211" t="s">
        <v>14</v>
      </c>
      <c r="C23" s="213">
        <f>C22*SUM(C98:C102)+C20</f>
        <v>135883.85755469135</v>
      </c>
      <c r="D23" s="75"/>
      <c r="E23" s="70" t="s">
        <v>377</v>
      </c>
      <c r="F23" s="74" t="s">
        <v>14</v>
      </c>
      <c r="G23" s="125">
        <f>G13*(1-G19)*G18</f>
        <v>18018.349999999999</v>
      </c>
      <c r="I23" s="80"/>
      <c r="J23" s="80"/>
      <c r="K23" s="132"/>
    </row>
    <row r="24" spans="1:11" x14ac:dyDescent="0.3">
      <c r="A24" s="70"/>
      <c r="B24" s="74"/>
      <c r="C24" s="77"/>
      <c r="D24" s="77"/>
      <c r="E24" s="84" t="s">
        <v>378</v>
      </c>
      <c r="F24" s="74" t="s">
        <v>14</v>
      </c>
      <c r="G24" s="178">
        <f>-PMT(12.5%,5,G21)</f>
        <v>40484.210994634901</v>
      </c>
      <c r="I24" s="70"/>
      <c r="J24" s="74"/>
      <c r="K24" s="155"/>
    </row>
    <row r="25" spans="1:11" x14ac:dyDescent="0.3">
      <c r="A25" s="70"/>
      <c r="B25" s="74"/>
      <c r="D25" s="72"/>
      <c r="E25" s="214" t="s">
        <v>389</v>
      </c>
      <c r="F25" s="211" t="s">
        <v>14</v>
      </c>
      <c r="G25" s="215">
        <f>G24*SUM(G98:G102)+G22</f>
        <v>215244.21140840201</v>
      </c>
      <c r="I25" s="70"/>
      <c r="J25" s="74"/>
      <c r="K25" s="155"/>
    </row>
    <row r="26" spans="1:11" x14ac:dyDescent="0.3">
      <c r="A26" s="70"/>
      <c r="B26" s="74"/>
      <c r="C26" s="77"/>
      <c r="D26" s="75"/>
      <c r="E26" s="84"/>
      <c r="F26" s="74"/>
      <c r="G26" s="179"/>
      <c r="I26" s="70"/>
      <c r="J26" s="74"/>
      <c r="K26" s="155"/>
    </row>
    <row r="27" spans="1:11" x14ac:dyDescent="0.3">
      <c r="A27" s="7" t="s">
        <v>4</v>
      </c>
      <c r="B27" s="5"/>
      <c r="C27" s="28"/>
      <c r="D27" s="75"/>
      <c r="E27" s="171" t="s">
        <v>4</v>
      </c>
      <c r="F27" s="171"/>
      <c r="G27" s="171"/>
      <c r="I27" s="70"/>
      <c r="J27" s="74"/>
      <c r="K27" s="155"/>
    </row>
    <row r="28" spans="1:11" x14ac:dyDescent="0.3">
      <c r="A28" s="70" t="s">
        <v>82</v>
      </c>
      <c r="B28" s="74" t="s">
        <v>5</v>
      </c>
      <c r="C28" s="105">
        <v>171</v>
      </c>
      <c r="D28" s="79"/>
      <c r="E28" s="70" t="s">
        <v>353</v>
      </c>
      <c r="F28" s="74" t="s">
        <v>118</v>
      </c>
      <c r="G28" s="143">
        <f>C30</f>
        <v>0.1</v>
      </c>
      <c r="I28" s="70"/>
      <c r="J28" s="74"/>
      <c r="K28" s="155"/>
    </row>
    <row r="29" spans="1:11" x14ac:dyDescent="0.3">
      <c r="A29" s="70" t="s">
        <v>128</v>
      </c>
      <c r="B29" s="74" t="s">
        <v>7</v>
      </c>
      <c r="C29" s="105">
        <v>148</v>
      </c>
      <c r="D29" s="75"/>
      <c r="E29" s="70" t="s">
        <v>263</v>
      </c>
      <c r="F29" s="74" t="s">
        <v>118</v>
      </c>
      <c r="G29" s="162">
        <f>C31</f>
        <v>2200</v>
      </c>
      <c r="I29" s="70"/>
      <c r="J29" s="74"/>
      <c r="K29" s="155"/>
    </row>
    <row r="30" spans="1:11" ht="12" customHeight="1" x14ac:dyDescent="0.3">
      <c r="A30" s="70" t="s">
        <v>353</v>
      </c>
      <c r="B30" s="74" t="s">
        <v>118</v>
      </c>
      <c r="C30" s="104">
        <v>0.1</v>
      </c>
      <c r="D30" s="75"/>
      <c r="E30" s="70" t="s">
        <v>10</v>
      </c>
      <c r="F30" s="74" t="s">
        <v>11</v>
      </c>
      <c r="G30" s="194">
        <f>G29/G44</f>
        <v>7.5342465753424657</v>
      </c>
      <c r="I30" s="70"/>
      <c r="J30" s="74"/>
      <c r="K30" s="155"/>
    </row>
    <row r="31" spans="1:11" x14ac:dyDescent="0.3">
      <c r="A31" s="70" t="s">
        <v>261</v>
      </c>
      <c r="B31" s="74" t="s">
        <v>268</v>
      </c>
      <c r="C31" s="105">
        <v>2200</v>
      </c>
      <c r="D31" s="90"/>
      <c r="E31" s="70"/>
      <c r="F31" s="74"/>
      <c r="G31" s="177"/>
      <c r="I31" s="70"/>
      <c r="J31" s="74"/>
      <c r="K31" s="155"/>
    </row>
    <row r="32" spans="1:11" ht="12" customHeight="1" x14ac:dyDescent="0.3">
      <c r="A32" s="70" t="s">
        <v>10</v>
      </c>
      <c r="B32" s="74" t="s">
        <v>11</v>
      </c>
      <c r="C32" s="90">
        <f>C31/C44</f>
        <v>7.5342465753424657</v>
      </c>
      <c r="D32" s="77"/>
      <c r="E32" s="70"/>
      <c r="F32" s="74"/>
      <c r="G32" s="177"/>
      <c r="I32" s="70"/>
      <c r="J32" s="74"/>
      <c r="K32" s="155"/>
    </row>
    <row r="33" spans="1:11" ht="12" customHeight="1" x14ac:dyDescent="0.3">
      <c r="A33" s="10"/>
      <c r="B33" s="74"/>
      <c r="C33" s="72"/>
      <c r="D33" s="77"/>
      <c r="E33" s="70"/>
      <c r="F33" s="74"/>
      <c r="G33" s="177"/>
      <c r="I33" s="70"/>
      <c r="J33" s="74"/>
      <c r="K33" s="155"/>
    </row>
    <row r="34" spans="1:11" ht="12" customHeight="1" x14ac:dyDescent="0.3">
      <c r="A34" s="7" t="s">
        <v>355</v>
      </c>
      <c r="B34" s="5"/>
      <c r="C34" s="28"/>
      <c r="D34" s="79"/>
      <c r="E34" s="171" t="s">
        <v>379</v>
      </c>
      <c r="F34" s="171"/>
      <c r="G34" s="171"/>
      <c r="I34" s="7" t="s">
        <v>379</v>
      </c>
      <c r="J34" s="5"/>
      <c r="K34" s="28"/>
    </row>
    <row r="35" spans="1:11" x14ac:dyDescent="0.3">
      <c r="A35" s="70" t="s">
        <v>248</v>
      </c>
      <c r="B35" s="74" t="s">
        <v>19</v>
      </c>
      <c r="C35" s="105">
        <v>4200</v>
      </c>
      <c r="D35" s="72"/>
      <c r="E35" s="70" t="s">
        <v>248</v>
      </c>
      <c r="F35" s="74" t="s">
        <v>19</v>
      </c>
      <c r="G35" s="191">
        <f>C35</f>
        <v>4200</v>
      </c>
      <c r="I35" s="70" t="s">
        <v>21</v>
      </c>
      <c r="J35" s="74" t="s">
        <v>19</v>
      </c>
      <c r="K35" s="101">
        <v>4800</v>
      </c>
    </row>
    <row r="36" spans="1:11" x14ac:dyDescent="0.3">
      <c r="A36" s="70" t="s">
        <v>214</v>
      </c>
      <c r="B36" s="74" t="s">
        <v>14</v>
      </c>
      <c r="C36" s="101">
        <f>'Diesel(5)LCE'!C27</f>
        <v>10000</v>
      </c>
      <c r="D36" s="72"/>
      <c r="E36" s="70" t="s">
        <v>214</v>
      </c>
      <c r="F36" s="74" t="s">
        <v>14</v>
      </c>
      <c r="G36" s="191">
        <f>C36</f>
        <v>10000</v>
      </c>
      <c r="I36" s="70" t="s">
        <v>240</v>
      </c>
      <c r="J36" s="74" t="s">
        <v>14</v>
      </c>
      <c r="K36" s="101">
        <v>10000</v>
      </c>
    </row>
    <row r="37" spans="1:11" x14ac:dyDescent="0.3">
      <c r="A37" s="70" t="s">
        <v>213</v>
      </c>
      <c r="B37" s="74" t="s">
        <v>118</v>
      </c>
      <c r="C37" s="104">
        <v>0.2</v>
      </c>
      <c r="D37" s="75"/>
      <c r="E37" s="70" t="s">
        <v>213</v>
      </c>
      <c r="F37" s="74" t="s">
        <v>118</v>
      </c>
      <c r="G37" s="190">
        <f>C37</f>
        <v>0.2</v>
      </c>
      <c r="I37" s="70" t="s">
        <v>380</v>
      </c>
      <c r="J37" s="74" t="s">
        <v>14</v>
      </c>
      <c r="K37" s="219">
        <f>K161*K45</f>
        <v>41469.839999999997</v>
      </c>
    </row>
    <row r="38" spans="1:11" x14ac:dyDescent="0.3">
      <c r="A38" s="70" t="s">
        <v>215</v>
      </c>
      <c r="B38" s="74" t="s">
        <v>129</v>
      </c>
      <c r="C38" s="64">
        <f>C36*(1+C37)</f>
        <v>12000</v>
      </c>
      <c r="D38" s="146"/>
      <c r="E38" s="70" t="s">
        <v>215</v>
      </c>
      <c r="F38" s="74" t="s">
        <v>129</v>
      </c>
      <c r="G38" s="195">
        <f>G36*(1+G37)</f>
        <v>12000</v>
      </c>
      <c r="I38" s="70"/>
      <c r="J38" s="71"/>
      <c r="K38" s="78"/>
    </row>
    <row r="39" spans="1:11" x14ac:dyDescent="0.3">
      <c r="A39" s="70" t="s">
        <v>334</v>
      </c>
      <c r="B39" s="74" t="s">
        <v>19</v>
      </c>
      <c r="C39" s="110">
        <f>C186*C45</f>
        <v>41469.839999999997</v>
      </c>
      <c r="D39" s="79"/>
      <c r="E39" s="70" t="s">
        <v>380</v>
      </c>
      <c r="F39" s="74" t="s">
        <v>19</v>
      </c>
      <c r="G39" s="196">
        <f>G161*G45</f>
        <v>41469.839999999997</v>
      </c>
      <c r="I39" s="70"/>
      <c r="J39" s="71"/>
      <c r="K39" s="78"/>
    </row>
    <row r="40" spans="1:11" x14ac:dyDescent="0.3">
      <c r="A40" s="70"/>
      <c r="B40" s="74"/>
      <c r="C40" s="110"/>
      <c r="D40" s="81"/>
      <c r="E40" s="70"/>
      <c r="F40" s="74"/>
      <c r="G40" s="177"/>
      <c r="I40" s="70"/>
      <c r="J40" s="71"/>
      <c r="K40" s="78"/>
    </row>
    <row r="41" spans="1:11" x14ac:dyDescent="0.3">
      <c r="A41" s="7" t="s">
        <v>356</v>
      </c>
      <c r="B41" s="5"/>
      <c r="C41" s="28"/>
      <c r="D41" s="72"/>
      <c r="E41" s="171" t="s">
        <v>383</v>
      </c>
      <c r="F41" s="171"/>
      <c r="G41" s="171"/>
      <c r="I41" s="7" t="s">
        <v>60</v>
      </c>
      <c r="J41" s="5"/>
      <c r="K41" s="25"/>
    </row>
    <row r="42" spans="1:11" x14ac:dyDescent="0.3">
      <c r="A42" s="70" t="s">
        <v>318</v>
      </c>
      <c r="B42" s="74" t="s">
        <v>23</v>
      </c>
      <c r="C42" s="111">
        <v>240</v>
      </c>
      <c r="D42" s="72"/>
      <c r="E42" s="70" t="s">
        <v>318</v>
      </c>
      <c r="F42" s="74" t="s">
        <v>23</v>
      </c>
      <c r="G42" s="162">
        <f>C42</f>
        <v>240</v>
      </c>
      <c r="I42" s="70" t="s">
        <v>318</v>
      </c>
      <c r="J42" s="74" t="s">
        <v>23</v>
      </c>
      <c r="K42" s="101">
        <f>C42</f>
        <v>240</v>
      </c>
    </row>
    <row r="43" spans="1:11" x14ac:dyDescent="0.3">
      <c r="A43" s="70" t="s">
        <v>319</v>
      </c>
      <c r="B43" s="74" t="s">
        <v>23</v>
      </c>
      <c r="C43" s="101">
        <f>C42/7*3</f>
        <v>102.85714285714286</v>
      </c>
      <c r="D43" s="72"/>
      <c r="E43" s="70" t="s">
        <v>319</v>
      </c>
      <c r="F43" s="74" t="s">
        <v>23</v>
      </c>
      <c r="G43" s="162">
        <f>G42/7*3</f>
        <v>102.85714285714286</v>
      </c>
      <c r="I43" s="70" t="s">
        <v>319</v>
      </c>
      <c r="J43" s="74" t="s">
        <v>23</v>
      </c>
      <c r="K43" s="101">
        <f>K42/7*3</f>
        <v>102.85714285714286</v>
      </c>
    </row>
    <row r="44" spans="1:11" x14ac:dyDescent="0.3">
      <c r="A44" s="70" t="s">
        <v>25</v>
      </c>
      <c r="B44" s="74" t="s">
        <v>26</v>
      </c>
      <c r="C44" s="105">
        <v>292</v>
      </c>
      <c r="D44" s="151"/>
      <c r="E44" s="70" t="s">
        <v>25</v>
      </c>
      <c r="F44" s="74" t="s">
        <v>26</v>
      </c>
      <c r="G44" s="162">
        <f>C44</f>
        <v>292</v>
      </c>
      <c r="I44" s="70" t="s">
        <v>25</v>
      </c>
      <c r="J44" s="74" t="s">
        <v>26</v>
      </c>
      <c r="K44" s="101">
        <f>C44</f>
        <v>292</v>
      </c>
    </row>
    <row r="45" spans="1:11" x14ac:dyDescent="0.3">
      <c r="A45" s="70" t="s">
        <v>317</v>
      </c>
      <c r="B45" s="74" t="s">
        <v>118</v>
      </c>
      <c r="C45" s="105">
        <v>1</v>
      </c>
      <c r="D45" s="146"/>
      <c r="E45" s="70" t="s">
        <v>317</v>
      </c>
      <c r="F45" s="74" t="s">
        <v>118</v>
      </c>
      <c r="G45" s="162">
        <f>C45</f>
        <v>1</v>
      </c>
      <c r="I45" s="70" t="s">
        <v>317</v>
      </c>
      <c r="J45" s="74" t="s">
        <v>118</v>
      </c>
      <c r="K45" s="101">
        <f>C45</f>
        <v>1</v>
      </c>
    </row>
    <row r="46" spans="1:11" x14ac:dyDescent="0.3">
      <c r="A46" s="70" t="s">
        <v>28</v>
      </c>
      <c r="B46" s="74" t="s">
        <v>29</v>
      </c>
      <c r="C46" s="72">
        <f>MAX(1,(ROUNDUP(((C42+C43)*C45)/(C28*C11/C50),0)))</f>
        <v>1</v>
      </c>
      <c r="D46" s="75"/>
      <c r="E46" s="70" t="s">
        <v>381</v>
      </c>
      <c r="F46" s="74" t="s">
        <v>382</v>
      </c>
      <c r="G46" s="125">
        <f>MAX(1,(ROUNDUP(((G42+G43)*G45)/(G11/G50),0)))</f>
        <v>1</v>
      </c>
      <c r="I46" s="70"/>
      <c r="J46" s="74"/>
      <c r="K46" s="101"/>
    </row>
    <row r="47" spans="1:11" x14ac:dyDescent="0.3">
      <c r="A47" s="70" t="s">
        <v>354</v>
      </c>
      <c r="B47" s="74" t="s">
        <v>118</v>
      </c>
      <c r="C47" s="109">
        <v>5.0000000000000001E-3</v>
      </c>
      <c r="D47" s="75"/>
      <c r="E47" s="70" t="s">
        <v>221</v>
      </c>
      <c r="F47" s="74" t="s">
        <v>118</v>
      </c>
      <c r="G47" s="197">
        <v>1.4E-2</v>
      </c>
      <c r="I47" s="70" t="s">
        <v>488</v>
      </c>
      <c r="J47" s="74" t="s">
        <v>118</v>
      </c>
      <c r="K47" s="142">
        <v>1.0999999999999999E-2</v>
      </c>
    </row>
    <row r="48" spans="1:11" x14ac:dyDescent="0.3">
      <c r="A48" s="70" t="s">
        <v>207</v>
      </c>
      <c r="B48" s="74" t="s">
        <v>118</v>
      </c>
      <c r="C48" s="107">
        <v>0.25</v>
      </c>
      <c r="D48" s="72"/>
      <c r="E48" s="70" t="s">
        <v>196</v>
      </c>
      <c r="F48" s="74" t="s">
        <v>118</v>
      </c>
      <c r="G48" s="190">
        <f>C48</f>
        <v>0.25</v>
      </c>
      <c r="I48" s="70" t="s">
        <v>489</v>
      </c>
      <c r="J48" s="74" t="s">
        <v>118</v>
      </c>
      <c r="K48" s="107">
        <f>C48</f>
        <v>0.25</v>
      </c>
    </row>
    <row r="49" spans="1:11" x14ac:dyDescent="0.3">
      <c r="A49" s="70" t="s">
        <v>408</v>
      </c>
      <c r="B49" s="74" t="s">
        <v>118</v>
      </c>
      <c r="C49" s="104">
        <v>0.5</v>
      </c>
      <c r="D49" s="152"/>
      <c r="E49" s="70" t="s">
        <v>395</v>
      </c>
      <c r="F49" s="74" t="s">
        <v>118</v>
      </c>
      <c r="G49" s="143">
        <v>0.8</v>
      </c>
      <c r="I49" s="70" t="s">
        <v>398</v>
      </c>
      <c r="J49" s="74" t="s">
        <v>118</v>
      </c>
      <c r="K49" s="104">
        <v>0.8</v>
      </c>
    </row>
    <row r="50" spans="1:11" ht="12" customHeight="1" x14ac:dyDescent="0.3">
      <c r="A50" s="70" t="s">
        <v>156</v>
      </c>
      <c r="B50" s="74" t="s">
        <v>145</v>
      </c>
      <c r="C50" s="105">
        <v>1.37</v>
      </c>
      <c r="D50" s="152"/>
      <c r="E50" s="70" t="s">
        <v>158</v>
      </c>
      <c r="F50" s="74" t="s">
        <v>145</v>
      </c>
      <c r="G50" s="161">
        <f>C50</f>
        <v>1.37</v>
      </c>
      <c r="I50" s="70" t="s">
        <v>102</v>
      </c>
      <c r="J50" s="74" t="s">
        <v>76</v>
      </c>
      <c r="K50" s="115">
        <f>K42*K$45*K55+K43*K$45*K60</f>
        <v>111</v>
      </c>
    </row>
    <row r="51" spans="1:11" ht="12" customHeight="1" x14ac:dyDescent="0.3">
      <c r="A51" s="70" t="s">
        <v>223</v>
      </c>
      <c r="B51" s="74" t="s">
        <v>145</v>
      </c>
      <c r="C51" s="90">
        <f>C50*(1+C47)</f>
        <v>1.3768499999999999</v>
      </c>
      <c r="D51" s="152"/>
      <c r="E51" s="70" t="s">
        <v>160</v>
      </c>
      <c r="F51" s="74" t="s">
        <v>145</v>
      </c>
      <c r="G51" s="180">
        <f>G50*(1+G47)</f>
        <v>1.3891800000000001</v>
      </c>
      <c r="I51" s="70" t="s">
        <v>103</v>
      </c>
      <c r="J51" s="74" t="s">
        <v>76</v>
      </c>
      <c r="K51" s="78">
        <f>K$42*K$45*K56+K$43*K$45*K61</f>
        <v>112.22099999999999</v>
      </c>
    </row>
    <row r="52" spans="1:11" x14ac:dyDescent="0.3">
      <c r="A52" s="70" t="s">
        <v>224</v>
      </c>
      <c r="B52" s="74" t="s">
        <v>145</v>
      </c>
      <c r="C52" s="90">
        <f>C51*(1+C47)</f>
        <v>1.3837342499999998</v>
      </c>
      <c r="D52" s="77"/>
      <c r="E52" s="70" t="s">
        <v>161</v>
      </c>
      <c r="F52" s="74" t="s">
        <v>145</v>
      </c>
      <c r="G52" s="180">
        <f>G51*(1+G47)</f>
        <v>1.4086285200000002</v>
      </c>
      <c r="I52" s="70" t="s">
        <v>104</v>
      </c>
      <c r="J52" s="74" t="s">
        <v>76</v>
      </c>
      <c r="K52" s="78">
        <f t="shared" ref="K52:K54" si="2">K$42*K$45*K57+K$43*K$45*K62</f>
        <v>113.45543099999999</v>
      </c>
    </row>
    <row r="53" spans="1:11" ht="24" x14ac:dyDescent="0.3">
      <c r="A53" s="70" t="s">
        <v>225</v>
      </c>
      <c r="B53" s="74" t="s">
        <v>145</v>
      </c>
      <c r="C53" s="90">
        <f>C52*(1+C47)</f>
        <v>1.3906529212499996</v>
      </c>
      <c r="D53" s="79"/>
      <c r="E53" s="70" t="s">
        <v>162</v>
      </c>
      <c r="F53" s="74" t="s">
        <v>145</v>
      </c>
      <c r="G53" s="180">
        <f>G52*(1+G47)</f>
        <v>1.4283493192800001</v>
      </c>
      <c r="I53" s="70" t="s">
        <v>105</v>
      </c>
      <c r="J53" s="74" t="s">
        <v>76</v>
      </c>
      <c r="K53" s="78">
        <f t="shared" si="2"/>
        <v>114.70344074099997</v>
      </c>
    </row>
    <row r="54" spans="1:11" x14ac:dyDescent="0.3">
      <c r="A54" s="70" t="s">
        <v>226</v>
      </c>
      <c r="B54" s="74" t="s">
        <v>145</v>
      </c>
      <c r="C54" s="90">
        <f>C53*(1+C47)</f>
        <v>1.3976061858562494</v>
      </c>
      <c r="D54" s="75"/>
      <c r="E54" s="70" t="s">
        <v>163</v>
      </c>
      <c r="F54" s="74" t="s">
        <v>145</v>
      </c>
      <c r="G54" s="180">
        <f>G53*(1+G47)</f>
        <v>1.44834620974992</v>
      </c>
      <c r="I54" s="70" t="s">
        <v>106</v>
      </c>
      <c r="J54" s="74" t="s">
        <v>76</v>
      </c>
      <c r="K54" s="78">
        <f t="shared" si="2"/>
        <v>115.96517858915097</v>
      </c>
    </row>
    <row r="55" spans="1:11" ht="15.5" customHeight="1" x14ac:dyDescent="0.3">
      <c r="A55" s="70" t="s">
        <v>157</v>
      </c>
      <c r="B55" s="74" t="s">
        <v>30</v>
      </c>
      <c r="C55" s="78">
        <f>C50*(1-C48)</f>
        <v>1.0275000000000001</v>
      </c>
      <c r="D55" s="90"/>
      <c r="E55" s="70" t="s">
        <v>159</v>
      </c>
      <c r="F55" s="74" t="s">
        <v>145</v>
      </c>
      <c r="G55" s="175">
        <f>G50*(1-G48)</f>
        <v>1.0275000000000001</v>
      </c>
      <c r="I55" s="70" t="s">
        <v>158</v>
      </c>
      <c r="J55" s="74" t="s">
        <v>75</v>
      </c>
      <c r="K55" s="78">
        <v>0.35</v>
      </c>
    </row>
    <row r="56" spans="1:11" ht="24" x14ac:dyDescent="0.3">
      <c r="A56" s="70" t="s">
        <v>227</v>
      </c>
      <c r="B56" s="74" t="s">
        <v>30</v>
      </c>
      <c r="C56" s="78">
        <f>C51*(1-C48)</f>
        <v>1.0326374999999999</v>
      </c>
      <c r="D56" s="90"/>
      <c r="E56" s="70" t="s">
        <v>164</v>
      </c>
      <c r="F56" s="74" t="s">
        <v>145</v>
      </c>
      <c r="G56" s="175">
        <f>G51*(1-G48)</f>
        <v>1.0418850000000002</v>
      </c>
      <c r="I56" s="70" t="s">
        <v>160</v>
      </c>
      <c r="J56" s="74" t="s">
        <v>75</v>
      </c>
      <c r="K56" s="78">
        <f>K55*(1+K$47)</f>
        <v>0.35384999999999994</v>
      </c>
    </row>
    <row r="57" spans="1:11" x14ac:dyDescent="0.3">
      <c r="A57" s="70" t="s">
        <v>228</v>
      </c>
      <c r="B57" s="74" t="s">
        <v>30</v>
      </c>
      <c r="C57" s="78">
        <f>C52*(1-C48)</f>
        <v>1.0378006874999999</v>
      </c>
      <c r="D57" s="90"/>
      <c r="E57" s="70" t="s">
        <v>165</v>
      </c>
      <c r="F57" s="74" t="s">
        <v>145</v>
      </c>
      <c r="G57" s="175">
        <f>G52*(1-G48)</f>
        <v>1.05647139</v>
      </c>
      <c r="I57" s="70" t="s">
        <v>161</v>
      </c>
      <c r="J57" s="74" t="s">
        <v>75</v>
      </c>
      <c r="K57" s="78">
        <f t="shared" ref="K57:K59" si="3">K56*(1+K$47)</f>
        <v>0.35774234999999993</v>
      </c>
    </row>
    <row r="58" spans="1:11" x14ac:dyDescent="0.3">
      <c r="A58" s="70" t="s">
        <v>229</v>
      </c>
      <c r="B58" s="74" t="s">
        <v>30</v>
      </c>
      <c r="C58" s="78">
        <f>C53*(1-C48)</f>
        <v>1.0429896909374996</v>
      </c>
      <c r="D58" s="90"/>
      <c r="E58" s="70" t="s">
        <v>166</v>
      </c>
      <c r="F58" s="74" t="s">
        <v>145</v>
      </c>
      <c r="G58" s="175">
        <f>G53*(1-G48)</f>
        <v>1.07126198946</v>
      </c>
      <c r="I58" s="70" t="s">
        <v>162</v>
      </c>
      <c r="J58" s="74" t="s">
        <v>75</v>
      </c>
      <c r="K58" s="78">
        <f t="shared" si="3"/>
        <v>0.36167751584999991</v>
      </c>
    </row>
    <row r="59" spans="1:11" x14ac:dyDescent="0.3">
      <c r="A59" s="70" t="s">
        <v>230</v>
      </c>
      <c r="B59" s="74" t="s">
        <v>30</v>
      </c>
      <c r="C59" s="78">
        <f>C54*(1-C48)</f>
        <v>1.0482046393921871</v>
      </c>
      <c r="D59" s="78"/>
      <c r="E59" s="70" t="s">
        <v>167</v>
      </c>
      <c r="F59" s="74" t="s">
        <v>145</v>
      </c>
      <c r="G59" s="175">
        <f>G54*(1-G48)</f>
        <v>1.0862596573124401</v>
      </c>
      <c r="I59" s="70" t="s">
        <v>163</v>
      </c>
      <c r="J59" s="74" t="s">
        <v>75</v>
      </c>
      <c r="K59" s="78">
        <f t="shared" si="3"/>
        <v>0.36565596852434989</v>
      </c>
    </row>
    <row r="60" spans="1:11" x14ac:dyDescent="0.3">
      <c r="A60" s="70" t="s">
        <v>124</v>
      </c>
      <c r="B60" s="74" t="s">
        <v>5</v>
      </c>
      <c r="C60" s="78">
        <f>(C$42*C$45*C50+C$43*C$45*C55)</f>
        <v>434.48571428571432</v>
      </c>
      <c r="D60" s="78"/>
      <c r="E60" s="70" t="s">
        <v>96</v>
      </c>
      <c r="F60" s="74" t="s">
        <v>5</v>
      </c>
      <c r="G60" s="78">
        <f>(G$42*G$45*G50+G$43*G$45*G55)</f>
        <v>434.48571428571432</v>
      </c>
      <c r="I60" s="70" t="s">
        <v>159</v>
      </c>
      <c r="J60" s="74" t="s">
        <v>75</v>
      </c>
      <c r="K60" s="175">
        <f>K55*(1-K48)</f>
        <v>0.26249999999999996</v>
      </c>
    </row>
    <row r="61" spans="1:11" x14ac:dyDescent="0.3">
      <c r="A61" s="70" t="s">
        <v>231</v>
      </c>
      <c r="B61" s="74" t="s">
        <v>5</v>
      </c>
      <c r="C61" s="78">
        <f t="shared" ref="C61:C64" si="4">(C$42*C$45*C51+C$43*C$45*C56)</f>
        <v>436.65814285714282</v>
      </c>
      <c r="D61" s="78"/>
      <c r="E61" s="70" t="s">
        <v>97</v>
      </c>
      <c r="F61" s="74" t="s">
        <v>5</v>
      </c>
      <c r="G61" s="78">
        <f t="shared" ref="G61:G64" si="5">(G$42*G$45*G51+G$43*G$45*G56)</f>
        <v>440.56851428571434</v>
      </c>
      <c r="I61" s="70" t="s">
        <v>164</v>
      </c>
      <c r="J61" s="74" t="s">
        <v>75</v>
      </c>
      <c r="K61" s="175">
        <f>K56*(1-K48)</f>
        <v>0.26538749999999994</v>
      </c>
    </row>
    <row r="62" spans="1:11" x14ac:dyDescent="0.3">
      <c r="A62" s="70" t="s">
        <v>232</v>
      </c>
      <c r="B62" s="74" t="s">
        <v>5</v>
      </c>
      <c r="C62" s="78">
        <f t="shared" si="4"/>
        <v>438.84143357142852</v>
      </c>
      <c r="D62" s="78"/>
      <c r="E62" s="70" t="s">
        <v>98</v>
      </c>
      <c r="F62" s="74" t="s">
        <v>5</v>
      </c>
      <c r="G62" s="78">
        <f t="shared" si="5"/>
        <v>446.73647348571433</v>
      </c>
      <c r="I62" s="70" t="s">
        <v>165</v>
      </c>
      <c r="J62" s="74" t="s">
        <v>75</v>
      </c>
      <c r="K62" s="175">
        <f>K57*(1-K48)</f>
        <v>0.26830676249999996</v>
      </c>
    </row>
    <row r="63" spans="1:11" x14ac:dyDescent="0.3">
      <c r="A63" s="70" t="s">
        <v>233</v>
      </c>
      <c r="B63" s="74" t="s">
        <v>5</v>
      </c>
      <c r="C63" s="78">
        <f t="shared" si="4"/>
        <v>441.03564073928561</v>
      </c>
      <c r="D63" s="78"/>
      <c r="E63" s="70" t="s">
        <v>99</v>
      </c>
      <c r="F63" s="74" t="s">
        <v>5</v>
      </c>
      <c r="G63" s="78">
        <f t="shared" si="5"/>
        <v>452.99078411451433</v>
      </c>
      <c r="I63" s="70" t="s">
        <v>166</v>
      </c>
      <c r="J63" s="74" t="s">
        <v>75</v>
      </c>
      <c r="K63" s="175">
        <f>K58*(1-K48)</f>
        <v>0.27125813688749995</v>
      </c>
    </row>
    <row r="64" spans="1:11" ht="10.5" customHeight="1" x14ac:dyDescent="0.3">
      <c r="A64" s="70" t="s">
        <v>234</v>
      </c>
      <c r="B64" s="74" t="s">
        <v>5</v>
      </c>
      <c r="C64" s="78">
        <f t="shared" si="4"/>
        <v>443.24081894298195</v>
      </c>
      <c r="D64" s="78"/>
      <c r="E64" s="70" t="s">
        <v>100</v>
      </c>
      <c r="F64" s="74" t="s">
        <v>5</v>
      </c>
      <c r="G64" s="78">
        <f t="shared" si="5"/>
        <v>459.33265509211748</v>
      </c>
      <c r="I64" s="70" t="s">
        <v>167</v>
      </c>
      <c r="J64" s="74" t="s">
        <v>75</v>
      </c>
      <c r="K64" s="175">
        <f>K59*(1-K48)</f>
        <v>0.27424197639326242</v>
      </c>
    </row>
    <row r="65" spans="1:11" ht="10.5" customHeight="1" x14ac:dyDescent="0.3">
      <c r="A65" s="80"/>
      <c r="B65" s="80"/>
      <c r="C65" s="82"/>
      <c r="D65" s="78"/>
      <c r="E65" s="70"/>
      <c r="F65" s="74"/>
      <c r="G65" s="180"/>
      <c r="I65" s="70" t="s">
        <v>216</v>
      </c>
      <c r="J65" s="74" t="s">
        <v>118</v>
      </c>
      <c r="K65" s="104">
        <v>0.1</v>
      </c>
    </row>
    <row r="66" spans="1:11" ht="10.5" customHeight="1" x14ac:dyDescent="0.3">
      <c r="A66" s="7" t="s">
        <v>32</v>
      </c>
      <c r="B66" s="5"/>
      <c r="C66" s="28"/>
      <c r="D66" s="78"/>
      <c r="E66" s="201" t="s">
        <v>84</v>
      </c>
      <c r="F66" s="202"/>
      <c r="G66" s="203"/>
      <c r="I66" s="70" t="s">
        <v>218</v>
      </c>
      <c r="J66" s="74" t="s">
        <v>14</v>
      </c>
      <c r="K66" s="101">
        <v>50</v>
      </c>
    </row>
    <row r="67" spans="1:11" ht="10.5" customHeight="1" x14ac:dyDescent="0.3">
      <c r="A67" s="70" t="s">
        <v>322</v>
      </c>
      <c r="B67" s="74" t="s">
        <v>14</v>
      </c>
      <c r="C67" s="174">
        <f>C28*C29*(C71+C75*C11)</f>
        <v>4479516</v>
      </c>
      <c r="D67" s="78"/>
      <c r="E67" s="204" t="s">
        <v>61</v>
      </c>
      <c r="F67" s="74" t="s">
        <v>7</v>
      </c>
      <c r="G67" s="205">
        <v>0.12</v>
      </c>
      <c r="I67" s="80"/>
      <c r="J67" s="80"/>
      <c r="K67" s="132"/>
    </row>
    <row r="68" spans="1:11" ht="10.5" customHeight="1" x14ac:dyDescent="0.3">
      <c r="A68" s="70" t="s">
        <v>33</v>
      </c>
      <c r="B68" s="74" t="s">
        <v>14</v>
      </c>
      <c r="C68" s="105">
        <v>2000000</v>
      </c>
      <c r="D68" s="78"/>
      <c r="E68" s="204" t="s">
        <v>62</v>
      </c>
      <c r="F68" s="74" t="s">
        <v>11</v>
      </c>
      <c r="G68" s="206">
        <v>8</v>
      </c>
      <c r="I68" s="221" t="s">
        <v>89</v>
      </c>
      <c r="J68" s="222"/>
      <c r="K68" s="223"/>
    </row>
    <row r="69" spans="1:11" x14ac:dyDescent="0.3">
      <c r="A69" s="70" t="s">
        <v>34</v>
      </c>
      <c r="B69" s="74" t="s">
        <v>14</v>
      </c>
      <c r="C69" s="105">
        <v>1000000</v>
      </c>
      <c r="E69" s="204" t="s">
        <v>34</v>
      </c>
      <c r="F69" s="74" t="s">
        <v>7</v>
      </c>
      <c r="G69" s="205">
        <v>0.08</v>
      </c>
      <c r="I69" s="204" t="s">
        <v>77</v>
      </c>
      <c r="J69" s="74" t="s">
        <v>78</v>
      </c>
      <c r="K69" s="205">
        <v>0.24</v>
      </c>
    </row>
    <row r="70" spans="1:11" x14ac:dyDescent="0.3">
      <c r="A70" s="70"/>
      <c r="B70" s="71"/>
      <c r="C70" s="72"/>
      <c r="D70" s="72"/>
      <c r="E70" s="204" t="s">
        <v>64</v>
      </c>
      <c r="F70" s="74" t="s">
        <v>11</v>
      </c>
      <c r="G70" s="206">
        <v>24</v>
      </c>
      <c r="I70" s="207" t="s">
        <v>79</v>
      </c>
      <c r="J70" s="208" t="s">
        <v>11</v>
      </c>
      <c r="K70" s="224">
        <v>24</v>
      </c>
    </row>
    <row r="71" spans="1:11" x14ac:dyDescent="0.3">
      <c r="A71" s="70" t="s">
        <v>357</v>
      </c>
      <c r="B71" s="74" t="s">
        <v>358</v>
      </c>
      <c r="C71" s="105">
        <v>24</v>
      </c>
      <c r="D71" s="112"/>
      <c r="E71" s="207"/>
      <c r="F71" s="208"/>
      <c r="G71" s="209"/>
      <c r="I71" s="70"/>
      <c r="J71" s="74"/>
      <c r="K71" s="155"/>
    </row>
    <row r="72" spans="1:11" x14ac:dyDescent="0.3">
      <c r="A72" s="70" t="s">
        <v>36</v>
      </c>
      <c r="B72" s="74" t="s">
        <v>11</v>
      </c>
      <c r="C72" s="105">
        <v>15</v>
      </c>
      <c r="D72" s="153"/>
      <c r="E72" s="171" t="s">
        <v>66</v>
      </c>
      <c r="F72" s="171"/>
      <c r="G72" s="171"/>
      <c r="I72" s="7" t="s">
        <v>88</v>
      </c>
      <c r="J72" s="5"/>
      <c r="K72" s="25"/>
    </row>
    <row r="73" spans="1:11" x14ac:dyDescent="0.3">
      <c r="A73" s="70" t="s">
        <v>37</v>
      </c>
      <c r="B73" s="74" t="s">
        <v>38</v>
      </c>
      <c r="C73" s="105">
        <v>171</v>
      </c>
      <c r="D73" s="75"/>
      <c r="E73" s="70" t="s">
        <v>267</v>
      </c>
      <c r="F73" s="74" t="s">
        <v>7</v>
      </c>
      <c r="G73" s="161">
        <v>0.22</v>
      </c>
      <c r="I73" s="70" t="s">
        <v>81</v>
      </c>
      <c r="J73" s="74" t="s">
        <v>78</v>
      </c>
      <c r="K73" s="115">
        <v>1.05</v>
      </c>
    </row>
    <row r="74" spans="1:11" x14ac:dyDescent="0.3">
      <c r="A74" s="70" t="s">
        <v>40</v>
      </c>
      <c r="B74" s="74" t="s">
        <v>118</v>
      </c>
      <c r="C74" s="104">
        <v>0.3</v>
      </c>
      <c r="D74" s="72"/>
      <c r="E74" s="70" t="s">
        <v>264</v>
      </c>
      <c r="F74" s="74" t="s">
        <v>7</v>
      </c>
      <c r="G74" s="161">
        <v>0.39</v>
      </c>
      <c r="I74" s="70" t="s">
        <v>87</v>
      </c>
      <c r="J74" s="74" t="s">
        <v>78</v>
      </c>
      <c r="K74" s="161">
        <v>1.48</v>
      </c>
    </row>
    <row r="75" spans="1:11" x14ac:dyDescent="0.3">
      <c r="A75" s="70" t="s">
        <v>42</v>
      </c>
      <c r="B75" s="74" t="s">
        <v>38</v>
      </c>
      <c r="C75" s="81">
        <f>ROUND(C73*C74,0)</f>
        <v>51</v>
      </c>
      <c r="D75" s="75"/>
      <c r="E75" s="70" t="s">
        <v>67</v>
      </c>
      <c r="F75" s="74" t="s">
        <v>68</v>
      </c>
      <c r="G75" s="162">
        <v>51</v>
      </c>
      <c r="I75" s="70" t="s">
        <v>67</v>
      </c>
      <c r="J75" s="74" t="s">
        <v>68</v>
      </c>
      <c r="K75" s="101">
        <v>51</v>
      </c>
    </row>
    <row r="76" spans="1:11" x14ac:dyDescent="0.3">
      <c r="A76" s="7" t="s">
        <v>363</v>
      </c>
      <c r="B76" s="5"/>
      <c r="C76" s="28"/>
      <c r="D76" s="75"/>
      <c r="E76" s="70" t="s">
        <v>168</v>
      </c>
      <c r="F76" s="74" t="s">
        <v>83</v>
      </c>
      <c r="G76" s="180">
        <f>G60*G$75*G$44</f>
        <v>6470361.2571428586</v>
      </c>
      <c r="I76" s="70" t="s">
        <v>197</v>
      </c>
      <c r="J76" s="74" t="s">
        <v>80</v>
      </c>
      <c r="K76" s="155">
        <f>K50*K75*K44</f>
        <v>1653012</v>
      </c>
    </row>
    <row r="77" spans="1:11" x14ac:dyDescent="0.3">
      <c r="A77" s="70" t="s">
        <v>289</v>
      </c>
      <c r="B77" s="74" t="s">
        <v>291</v>
      </c>
      <c r="C77" s="101">
        <v>216000</v>
      </c>
      <c r="D77" s="75"/>
      <c r="E77" s="70" t="s">
        <v>169</v>
      </c>
      <c r="F77" s="74" t="s">
        <v>83</v>
      </c>
      <c r="G77" s="180">
        <f t="shared" ref="G77:G80" si="6">G61*G$75*G$44</f>
        <v>6560946.3147428576</v>
      </c>
      <c r="I77" s="70" t="s">
        <v>107</v>
      </c>
      <c r="J77" s="74" t="s">
        <v>80</v>
      </c>
      <c r="K77" s="155">
        <f>K51*K75*K44</f>
        <v>1671195.132</v>
      </c>
    </row>
    <row r="78" spans="1:11" x14ac:dyDescent="0.3">
      <c r="A78" s="70" t="s">
        <v>299</v>
      </c>
      <c r="B78" s="74" t="s">
        <v>291</v>
      </c>
      <c r="C78" s="101">
        <v>48705</v>
      </c>
      <c r="D78" s="154"/>
      <c r="E78" s="70" t="s">
        <v>170</v>
      </c>
      <c r="F78" s="74" t="s">
        <v>83</v>
      </c>
      <c r="G78" s="180">
        <f t="shared" si="6"/>
        <v>6652799.5631492576</v>
      </c>
      <c r="I78" s="70" t="s">
        <v>108</v>
      </c>
      <c r="J78" s="74" t="s">
        <v>80</v>
      </c>
      <c r="K78" s="155">
        <f>K52*K75*K44</f>
        <v>1689578.2784519999</v>
      </c>
    </row>
    <row r="79" spans="1:11" x14ac:dyDescent="0.3">
      <c r="A79" s="84" t="s">
        <v>338</v>
      </c>
      <c r="B79" s="80" t="s">
        <v>14</v>
      </c>
      <c r="C79" s="120">
        <f>(C77+C78)/C75</f>
        <v>5190.2941176470586</v>
      </c>
      <c r="D79" s="81"/>
      <c r="E79" s="70" t="s">
        <v>171</v>
      </c>
      <c r="F79" s="74" t="s">
        <v>83</v>
      </c>
      <c r="G79" s="180">
        <f t="shared" si="6"/>
        <v>6745938.7570333472</v>
      </c>
      <c r="I79" s="70" t="s">
        <v>109</v>
      </c>
      <c r="J79" s="74" t="s">
        <v>80</v>
      </c>
      <c r="K79" s="155">
        <f>K53*K75*K44</f>
        <v>1708163.6395149715</v>
      </c>
    </row>
    <row r="80" spans="1:11" x14ac:dyDescent="0.3">
      <c r="A80" s="84" t="s">
        <v>339</v>
      </c>
      <c r="B80" s="80" t="s">
        <v>14</v>
      </c>
      <c r="C80" s="120">
        <f xml:space="preserve"> ((C68 + C69) / C72) / C75</f>
        <v>3921.5686274509803</v>
      </c>
      <c r="D80" s="72"/>
      <c r="E80" s="70" t="s">
        <v>172</v>
      </c>
      <c r="F80" s="74" t="s">
        <v>83</v>
      </c>
      <c r="G80" s="180">
        <f t="shared" si="6"/>
        <v>6840381.8996318132</v>
      </c>
      <c r="I80" s="70" t="s">
        <v>110</v>
      </c>
      <c r="J80" s="74" t="s">
        <v>80</v>
      </c>
      <c r="K80" s="155">
        <f>K54*K75*K44</f>
        <v>1726953.4395496361</v>
      </c>
    </row>
    <row r="81" spans="1:11" x14ac:dyDescent="0.3">
      <c r="A81" s="84" t="s">
        <v>340</v>
      </c>
      <c r="B81" s="80" t="s">
        <v>14</v>
      </c>
      <c r="C81" s="120">
        <f>(((C71*C28*C29)+(C75*C11*C28*C29))*(1-C30)*(C44*C45*C75*C11/((C71+(C75*C11))*C31)))/C75</f>
        <v>9069.4669090909101</v>
      </c>
      <c r="D81" s="146"/>
      <c r="E81" s="70" t="s">
        <v>174</v>
      </c>
      <c r="F81" s="74" t="s">
        <v>83</v>
      </c>
      <c r="G81" s="180">
        <f>G49*G76</f>
        <v>5176289.0057142871</v>
      </c>
      <c r="I81" s="70" t="s">
        <v>174</v>
      </c>
      <c r="J81" s="74" t="s">
        <v>80</v>
      </c>
      <c r="K81" s="155">
        <f>K49*K76</f>
        <v>1322409.6000000001</v>
      </c>
    </row>
    <row r="82" spans="1:11" x14ac:dyDescent="0.3">
      <c r="A82" s="229" t="s">
        <v>341</v>
      </c>
      <c r="B82" s="230" t="s">
        <v>14</v>
      </c>
      <c r="C82" s="213">
        <f>C81+C80+C79</f>
        <v>18181.32965418895</v>
      </c>
      <c r="D82" s="146"/>
      <c r="E82" s="70" t="s">
        <v>173</v>
      </c>
      <c r="F82" s="74" t="s">
        <v>83</v>
      </c>
      <c r="G82" s="180">
        <f>G49*G77</f>
        <v>5248757.0517942868</v>
      </c>
      <c r="I82" s="70" t="s">
        <v>111</v>
      </c>
      <c r="J82" s="74" t="s">
        <v>80</v>
      </c>
      <c r="K82" s="155">
        <f>K49*K77</f>
        <v>1336956.1056000001</v>
      </c>
    </row>
    <row r="83" spans="1:11" x14ac:dyDescent="0.3">
      <c r="A83" s="84" t="s">
        <v>324</v>
      </c>
      <c r="B83" s="80" t="s">
        <v>14</v>
      </c>
      <c r="C83" s="121">
        <f>C82/12</f>
        <v>1515.1108045157459</v>
      </c>
      <c r="D83" s="120"/>
      <c r="E83" s="70" t="s">
        <v>175</v>
      </c>
      <c r="F83" s="74" t="s">
        <v>83</v>
      </c>
      <c r="G83" s="180">
        <f>G49*G78</f>
        <v>5322239.6505194064</v>
      </c>
      <c r="I83" s="70" t="s">
        <v>175</v>
      </c>
      <c r="J83" s="74" t="s">
        <v>80</v>
      </c>
      <c r="K83" s="155">
        <f>K49*K78</f>
        <v>1351662.6227616</v>
      </c>
    </row>
    <row r="84" spans="1:11" x14ac:dyDescent="0.3">
      <c r="A84" s="70" t="s">
        <v>293</v>
      </c>
      <c r="B84" s="74" t="s">
        <v>118</v>
      </c>
      <c r="C84" s="107">
        <v>0.15</v>
      </c>
      <c r="D84" s="120"/>
      <c r="E84" s="70" t="s">
        <v>176</v>
      </c>
      <c r="F84" s="74" t="s">
        <v>83</v>
      </c>
      <c r="G84" s="180">
        <f>G49*G79</f>
        <v>5396751.0056266785</v>
      </c>
      <c r="I84" s="70" t="s">
        <v>176</v>
      </c>
      <c r="J84" s="74" t="s">
        <v>80</v>
      </c>
      <c r="K84" s="155">
        <f>K49*K79</f>
        <v>1366530.9116119773</v>
      </c>
    </row>
    <row r="85" spans="1:11" x14ac:dyDescent="0.3">
      <c r="A85" s="35" t="s">
        <v>342</v>
      </c>
      <c r="B85" s="80" t="s">
        <v>14</v>
      </c>
      <c r="C85" s="120">
        <f>C29*C11*C28*C84</f>
        <v>11388.6</v>
      </c>
      <c r="D85" s="120"/>
      <c r="E85" s="70" t="s">
        <v>177</v>
      </c>
      <c r="F85" s="74" t="s">
        <v>83</v>
      </c>
      <c r="G85" s="180">
        <f>G49*G80</f>
        <v>5472305.5197054511</v>
      </c>
      <c r="I85" s="70" t="s">
        <v>177</v>
      </c>
      <c r="J85" s="74" t="s">
        <v>80</v>
      </c>
      <c r="K85" s="155">
        <f>K49*K80</f>
        <v>1381562.7516397089</v>
      </c>
    </row>
    <row r="86" spans="1:11" x14ac:dyDescent="0.3">
      <c r="A86" s="84" t="s">
        <v>323</v>
      </c>
      <c r="B86" s="80" t="s">
        <v>14</v>
      </c>
      <c r="C86" s="121">
        <f>C85/12</f>
        <v>949.05000000000007</v>
      </c>
      <c r="D86" s="120"/>
      <c r="E86" s="70" t="s">
        <v>178</v>
      </c>
      <c r="F86" s="74" t="s">
        <v>83</v>
      </c>
      <c r="G86" s="180">
        <f>G76*(1-G49)</f>
        <v>1294072.2514285715</v>
      </c>
      <c r="I86" s="70" t="s">
        <v>178</v>
      </c>
      <c r="J86" s="74" t="s">
        <v>80</v>
      </c>
      <c r="K86" s="155">
        <f>K76*(1-K49)</f>
        <v>330602.39999999991</v>
      </c>
    </row>
    <row r="87" spans="1:11" x14ac:dyDescent="0.3">
      <c r="A87" s="13" t="s">
        <v>92</v>
      </c>
      <c r="B87" s="74" t="s">
        <v>14</v>
      </c>
      <c r="C87" s="105">
        <v>3</v>
      </c>
      <c r="D87" s="121"/>
      <c r="E87" s="70" t="s">
        <v>179</v>
      </c>
      <c r="F87" s="74" t="s">
        <v>83</v>
      </c>
      <c r="G87" s="180">
        <f>G77*(1-G49)</f>
        <v>1312189.2629485712</v>
      </c>
      <c r="I87" s="70" t="s">
        <v>112</v>
      </c>
      <c r="J87" s="74" t="s">
        <v>80</v>
      </c>
      <c r="K87" s="155">
        <f>K77*(1-K49)</f>
        <v>334239.02639999992</v>
      </c>
    </row>
    <row r="88" spans="1:11" x14ac:dyDescent="0.3">
      <c r="A88" s="2" t="s">
        <v>348</v>
      </c>
      <c r="B88" s="80" t="s">
        <v>14</v>
      </c>
      <c r="C88" s="122">
        <f>C87*C46*C44</f>
        <v>876</v>
      </c>
      <c r="D88" s="77"/>
      <c r="E88" s="70" t="s">
        <v>180</v>
      </c>
      <c r="F88" s="74" t="s">
        <v>83</v>
      </c>
      <c r="G88" s="180">
        <f>G78*(1-G49)</f>
        <v>1330559.9126298511</v>
      </c>
      <c r="I88" s="70" t="s">
        <v>180</v>
      </c>
      <c r="J88" s="74" t="s">
        <v>80</v>
      </c>
      <c r="K88" s="155">
        <f>K78*(1-K49)</f>
        <v>337915.65569039993</v>
      </c>
    </row>
    <row r="89" spans="1:11" x14ac:dyDescent="0.3">
      <c r="A89" s="70" t="s">
        <v>294</v>
      </c>
      <c r="B89" s="74" t="s">
        <v>7</v>
      </c>
      <c r="C89" s="115">
        <v>0.2</v>
      </c>
      <c r="D89" s="120"/>
      <c r="E89" s="70" t="s">
        <v>181</v>
      </c>
      <c r="F89" s="74" t="s">
        <v>83</v>
      </c>
      <c r="G89" s="180">
        <f>G79*(1-G49)</f>
        <v>1349187.7514066692</v>
      </c>
      <c r="I89" s="70" t="s">
        <v>198</v>
      </c>
      <c r="J89" s="74" t="s">
        <v>80</v>
      </c>
      <c r="K89" s="155">
        <f>K79*(1-K49)</f>
        <v>341632.7279029942</v>
      </c>
    </row>
    <row r="90" spans="1:11" x14ac:dyDescent="0.3">
      <c r="A90" s="70" t="s">
        <v>295</v>
      </c>
      <c r="B90" s="74" t="s">
        <v>7</v>
      </c>
      <c r="C90" s="115">
        <v>0.1</v>
      </c>
      <c r="D90" s="121"/>
      <c r="E90" s="70" t="s">
        <v>182</v>
      </c>
      <c r="F90" s="74" t="s">
        <v>83</v>
      </c>
      <c r="G90" s="180">
        <f>G80*(1-G49)</f>
        <v>1368076.3799263623</v>
      </c>
      <c r="I90" s="70" t="s">
        <v>113</v>
      </c>
      <c r="J90" s="74" t="s">
        <v>80</v>
      </c>
      <c r="K90" s="155">
        <f>K80*(1-K49)</f>
        <v>345390.68790992716</v>
      </c>
    </row>
    <row r="91" spans="1:11" x14ac:dyDescent="0.3">
      <c r="A91" s="13" t="s">
        <v>413</v>
      </c>
      <c r="B91" s="74" t="s">
        <v>118</v>
      </c>
      <c r="C91" s="143">
        <v>1</v>
      </c>
      <c r="D91" s="75"/>
      <c r="E91" s="70"/>
      <c r="F91" s="74"/>
      <c r="G91" s="180"/>
      <c r="I91" s="70"/>
      <c r="J91" s="74"/>
      <c r="K91" s="176"/>
    </row>
    <row r="92" spans="1:11" x14ac:dyDescent="0.3">
      <c r="A92" s="70" t="s">
        <v>296</v>
      </c>
      <c r="B92" s="74" t="s">
        <v>7</v>
      </c>
      <c r="C92" s="119">
        <f>C89*(1+C91)</f>
        <v>0.4</v>
      </c>
      <c r="D92" s="122"/>
      <c r="E92" s="70"/>
      <c r="F92" s="74"/>
      <c r="G92" s="180"/>
      <c r="I92" s="70"/>
      <c r="J92" s="74"/>
      <c r="K92" s="176"/>
    </row>
    <row r="93" spans="1:11" x14ac:dyDescent="0.3">
      <c r="A93" s="70" t="s">
        <v>297</v>
      </c>
      <c r="B93" s="74" t="s">
        <v>7</v>
      </c>
      <c r="C93" s="119">
        <f>C90*(1+C91)</f>
        <v>0.2</v>
      </c>
      <c r="D93" s="155"/>
      <c r="E93" s="70"/>
      <c r="F93" s="74"/>
      <c r="G93" s="180"/>
      <c r="I93" s="70"/>
      <c r="J93" s="74"/>
      <c r="K93" s="176"/>
    </row>
    <row r="94" spans="1:11" x14ac:dyDescent="0.3">
      <c r="A94" s="70"/>
      <c r="B94" s="1"/>
      <c r="C94" s="75"/>
      <c r="D94" s="155"/>
      <c r="E94" s="70"/>
      <c r="F94" s="74"/>
      <c r="G94" s="180"/>
      <c r="I94" s="70"/>
      <c r="J94" s="74"/>
      <c r="K94" s="176"/>
    </row>
    <row r="95" spans="1:11" x14ac:dyDescent="0.3">
      <c r="A95" s="22" t="s">
        <v>152</v>
      </c>
      <c r="B95" s="23"/>
      <c r="C95" s="26"/>
      <c r="D95" s="156"/>
      <c r="E95" s="171" t="s">
        <v>152</v>
      </c>
      <c r="F95" s="171"/>
      <c r="G95" s="171"/>
      <c r="I95" s="22" t="s">
        <v>152</v>
      </c>
      <c r="J95" s="23"/>
      <c r="K95" s="26"/>
    </row>
    <row r="96" spans="1:11" x14ac:dyDescent="0.3">
      <c r="A96" s="84" t="s">
        <v>151</v>
      </c>
      <c r="B96" s="80" t="s">
        <v>118</v>
      </c>
      <c r="C96" s="200">
        <v>0.1</v>
      </c>
      <c r="D96" s="119"/>
      <c r="E96" s="84" t="s">
        <v>151</v>
      </c>
      <c r="F96" s="80" t="s">
        <v>118</v>
      </c>
      <c r="G96" s="198">
        <f>C96</f>
        <v>0.1</v>
      </c>
      <c r="I96" s="84" t="s">
        <v>151</v>
      </c>
      <c r="J96" s="80" t="s">
        <v>118</v>
      </c>
      <c r="K96" s="200">
        <f>C96</f>
        <v>0.1</v>
      </c>
    </row>
    <row r="97" spans="1:11" x14ac:dyDescent="0.3">
      <c r="A97" s="84" t="s">
        <v>153</v>
      </c>
      <c r="B97" s="80"/>
      <c r="C97" s="82"/>
      <c r="D97" s="119"/>
      <c r="E97" s="84" t="s">
        <v>153</v>
      </c>
      <c r="F97" s="80"/>
      <c r="G97" s="181"/>
      <c r="I97" s="84" t="s">
        <v>153</v>
      </c>
      <c r="J97" s="80"/>
      <c r="K97" s="82"/>
    </row>
    <row r="98" spans="1:11" x14ac:dyDescent="0.3">
      <c r="A98" s="84" t="s">
        <v>146</v>
      </c>
      <c r="B98" s="80" t="s">
        <v>118</v>
      </c>
      <c r="C98" s="139">
        <f>1/(1+C96)^1</f>
        <v>0.90909090909090906</v>
      </c>
      <c r="D98" s="75"/>
      <c r="E98" s="84" t="s">
        <v>146</v>
      </c>
      <c r="F98" s="80" t="s">
        <v>118</v>
      </c>
      <c r="G98" s="182">
        <f>1/(1+G96)^1</f>
        <v>0.90909090909090906</v>
      </c>
      <c r="I98" s="84" t="s">
        <v>146</v>
      </c>
      <c r="J98" s="80" t="s">
        <v>118</v>
      </c>
      <c r="K98" s="139">
        <f>1/(1+K96)^1</f>
        <v>0.90909090909090906</v>
      </c>
    </row>
    <row r="99" spans="1:11" x14ac:dyDescent="0.3">
      <c r="A99" s="84" t="s">
        <v>147</v>
      </c>
      <c r="B99" s="80" t="s">
        <v>118</v>
      </c>
      <c r="C99" s="139">
        <f>1/(1+C96)^2</f>
        <v>0.82644628099173545</v>
      </c>
      <c r="D99" s="89"/>
      <c r="E99" s="84" t="s">
        <v>147</v>
      </c>
      <c r="F99" s="80" t="s">
        <v>118</v>
      </c>
      <c r="G99" s="182">
        <f>1/(1+G96)^2</f>
        <v>0.82644628099173545</v>
      </c>
      <c r="I99" s="84" t="s">
        <v>147</v>
      </c>
      <c r="J99" s="80" t="s">
        <v>118</v>
      </c>
      <c r="K99" s="139">
        <f>1/(1+K96)^2</f>
        <v>0.82644628099173545</v>
      </c>
    </row>
    <row r="100" spans="1:11" x14ac:dyDescent="0.3">
      <c r="A100" s="84" t="s">
        <v>148</v>
      </c>
      <c r="B100" s="80" t="s">
        <v>118</v>
      </c>
      <c r="C100" s="139">
        <f>1/(1+C96)^3</f>
        <v>0.75131480090157754</v>
      </c>
      <c r="D100" s="85"/>
      <c r="E100" s="84" t="s">
        <v>148</v>
      </c>
      <c r="F100" s="80" t="s">
        <v>118</v>
      </c>
      <c r="G100" s="182">
        <f>1/(1+G96)^3</f>
        <v>0.75131480090157754</v>
      </c>
      <c r="I100" s="84" t="s">
        <v>148</v>
      </c>
      <c r="J100" s="80" t="s">
        <v>118</v>
      </c>
      <c r="K100" s="139">
        <f>1/(1+K96)^3</f>
        <v>0.75131480090157754</v>
      </c>
    </row>
    <row r="101" spans="1:11" x14ac:dyDescent="0.3">
      <c r="A101" s="84" t="s">
        <v>149</v>
      </c>
      <c r="B101" s="80" t="s">
        <v>118</v>
      </c>
      <c r="C101" s="139">
        <f>1/(1+C96)^4</f>
        <v>0.68301345536507052</v>
      </c>
      <c r="E101" s="84" t="s">
        <v>149</v>
      </c>
      <c r="F101" s="80" t="s">
        <v>118</v>
      </c>
      <c r="G101" s="182">
        <f>1/(1+G96)^4</f>
        <v>0.68301345536507052</v>
      </c>
      <c r="I101" s="84" t="s">
        <v>149</v>
      </c>
      <c r="J101" s="80" t="s">
        <v>118</v>
      </c>
      <c r="K101" s="139">
        <f>1/(1+K96)^4</f>
        <v>0.68301345536507052</v>
      </c>
    </row>
    <row r="102" spans="1:11" x14ac:dyDescent="0.3">
      <c r="A102" s="84" t="s">
        <v>150</v>
      </c>
      <c r="B102" s="80" t="s">
        <v>118</v>
      </c>
      <c r="C102" s="139">
        <f>1/(1+C96)^5</f>
        <v>0.62092132305915493</v>
      </c>
      <c r="E102" s="84" t="s">
        <v>150</v>
      </c>
      <c r="F102" s="80" t="s">
        <v>118</v>
      </c>
      <c r="G102" s="182">
        <f>1/(1+G96)^5</f>
        <v>0.62092132305915493</v>
      </c>
      <c r="I102" s="84" t="s">
        <v>150</v>
      </c>
      <c r="J102" s="80" t="s">
        <v>118</v>
      </c>
      <c r="K102" s="139">
        <f>1/(1+K96)^5</f>
        <v>0.62092132305915493</v>
      </c>
    </row>
    <row r="103" spans="1:11" x14ac:dyDescent="0.3">
      <c r="A103" s="22" t="s">
        <v>244</v>
      </c>
      <c r="B103" s="23"/>
      <c r="C103" s="26"/>
      <c r="E103" s="171" t="s">
        <v>244</v>
      </c>
      <c r="F103" s="171"/>
      <c r="G103" s="171"/>
      <c r="I103" s="70"/>
      <c r="J103" s="74"/>
      <c r="K103" s="155"/>
    </row>
    <row r="104" spans="1:11" x14ac:dyDescent="0.3">
      <c r="A104" s="84" t="s">
        <v>244</v>
      </c>
      <c r="B104" s="80" t="s">
        <v>14</v>
      </c>
      <c r="C104" s="235">
        <v>0</v>
      </c>
      <c r="E104" s="84" t="s">
        <v>244</v>
      </c>
      <c r="F104" s="80" t="s">
        <v>14</v>
      </c>
      <c r="G104" s="234">
        <v>0</v>
      </c>
      <c r="I104" s="70"/>
      <c r="J104" s="74"/>
      <c r="K104" s="155"/>
    </row>
    <row r="105" spans="1:11" x14ac:dyDescent="0.3">
      <c r="A105" s="80"/>
      <c r="B105" s="80"/>
      <c r="C105" s="80"/>
      <c r="E105" s="70"/>
      <c r="F105" s="74"/>
      <c r="G105" s="176"/>
      <c r="I105" s="70"/>
      <c r="J105" s="74"/>
      <c r="K105" s="155"/>
    </row>
    <row r="106" spans="1:11" x14ac:dyDescent="0.3">
      <c r="A106" s="9" t="s">
        <v>359</v>
      </c>
      <c r="B106" s="51"/>
      <c r="C106" s="56"/>
      <c r="D106" s="72"/>
      <c r="E106" s="167" t="s">
        <v>49</v>
      </c>
      <c r="F106" s="167"/>
      <c r="G106" s="167"/>
      <c r="I106" s="167" t="s">
        <v>49</v>
      </c>
      <c r="J106" s="51" t="s">
        <v>50</v>
      </c>
      <c r="K106" s="69"/>
    </row>
    <row r="107" spans="1:11" x14ac:dyDescent="0.3">
      <c r="A107" s="70" t="s">
        <v>364</v>
      </c>
      <c r="B107" s="74" t="s">
        <v>11</v>
      </c>
      <c r="C107" s="105">
        <v>5</v>
      </c>
      <c r="D107" s="125"/>
      <c r="E107" s="70" t="s">
        <v>384</v>
      </c>
      <c r="F107" s="74" t="s">
        <v>11</v>
      </c>
      <c r="G107" s="162">
        <f>C107</f>
        <v>5</v>
      </c>
      <c r="I107" s="70" t="s">
        <v>117</v>
      </c>
      <c r="J107" s="71" t="s">
        <v>11</v>
      </c>
      <c r="K107" s="125">
        <f>C107</f>
        <v>5</v>
      </c>
    </row>
    <row r="108" spans="1:11" x14ac:dyDescent="0.3">
      <c r="A108" s="84" t="s">
        <v>336</v>
      </c>
      <c r="B108" s="84" t="s">
        <v>14</v>
      </c>
      <c r="C108" s="125">
        <f>C23</f>
        <v>135883.85755469135</v>
      </c>
      <c r="D108" s="127"/>
      <c r="E108" s="84" t="s">
        <v>385</v>
      </c>
      <c r="F108" s="84" t="s">
        <v>14</v>
      </c>
      <c r="G108" s="86">
        <f>G25</f>
        <v>215244.21140840201</v>
      </c>
      <c r="I108" s="84" t="s">
        <v>385</v>
      </c>
      <c r="J108" s="84" t="s">
        <v>14</v>
      </c>
      <c r="K108" s="220">
        <f>K22</f>
        <v>151458.23815134444</v>
      </c>
    </row>
    <row r="109" spans="1:11" x14ac:dyDescent="0.3">
      <c r="A109" s="84" t="s">
        <v>337</v>
      </c>
      <c r="B109" s="84" t="s">
        <v>14</v>
      </c>
      <c r="C109" s="238">
        <f>MAX(0,((C10*(1-C12)^C107-C13*(C42+C43)*C45*C44*C107)*C102))</f>
        <v>25134.916700840429</v>
      </c>
      <c r="D109" s="129"/>
      <c r="E109" s="70" t="s">
        <v>337</v>
      </c>
      <c r="F109" s="80" t="s">
        <v>14</v>
      </c>
      <c r="G109" s="239">
        <f>MAX(0,((G10*(1-G14)^G107-G15*(G42+G43)*G45*G44*G107)*G102))</f>
        <v>25134.916700840429</v>
      </c>
      <c r="I109" s="84" t="s">
        <v>406</v>
      </c>
      <c r="J109" s="84" t="s">
        <v>14</v>
      </c>
      <c r="K109" s="240">
        <f>MAX(0,((K11*(1-K12)^K107-K13*(K42+K43)*K45*K44*K107)*K102))</f>
        <v>31400.067176878496</v>
      </c>
    </row>
    <row r="110" spans="1:11" x14ac:dyDescent="0.3">
      <c r="A110" s="84" t="s">
        <v>386</v>
      </c>
      <c r="B110" s="84" t="s">
        <v>14</v>
      </c>
      <c r="C110" s="129">
        <f>(C35+C39+C38)*SUM(C98:C102)</f>
        <v>218614.06646590205</v>
      </c>
      <c r="D110" s="71"/>
      <c r="E110" s="84" t="s">
        <v>388</v>
      </c>
      <c r="F110" s="80" t="s">
        <v>14</v>
      </c>
      <c r="G110" s="124">
        <f>MAX((G11*G12*G28*G102),((G11*G12-(G11*G12)*(1-G28)*(G44*G107*G45/G29))*G102))</f>
        <v>18985.703568773515</v>
      </c>
      <c r="I110" s="84" t="s">
        <v>386</v>
      </c>
      <c r="J110" s="84" t="s">
        <v>14</v>
      </c>
      <c r="K110" s="86">
        <f>(K35+K37+K36+K44*K65*K66)*SUM(K98:K102)</f>
        <v>218841.51367206656</v>
      </c>
    </row>
    <row r="111" spans="1:11" x14ac:dyDescent="0.3">
      <c r="A111" s="80"/>
      <c r="B111" s="80"/>
      <c r="C111" s="82"/>
      <c r="D111" s="122"/>
      <c r="E111" s="133" t="s">
        <v>387</v>
      </c>
      <c r="F111" s="133" t="s">
        <v>14</v>
      </c>
      <c r="G111" s="134">
        <f>G109+G110</f>
        <v>44120.620269613944</v>
      </c>
      <c r="I111" s="80"/>
      <c r="J111" s="80"/>
      <c r="K111" s="132"/>
    </row>
    <row r="112" spans="1:11" x14ac:dyDescent="0.3">
      <c r="A112" s="80"/>
      <c r="B112" s="80"/>
      <c r="C112" s="82"/>
      <c r="D112" s="122"/>
      <c r="E112" s="84" t="s">
        <v>386</v>
      </c>
      <c r="F112" s="84" t="s">
        <v>14</v>
      </c>
      <c r="G112" s="86">
        <f>((G35+G39+G38))*SUM(G98:G102)</f>
        <v>218614.06646590205</v>
      </c>
      <c r="I112" s="80"/>
      <c r="J112" s="80"/>
      <c r="K112" s="132"/>
    </row>
    <row r="113" spans="1:11" x14ac:dyDescent="0.3">
      <c r="A113" s="80"/>
      <c r="B113" s="80"/>
      <c r="C113" s="82"/>
      <c r="D113" s="131"/>
      <c r="E113" s="84"/>
      <c r="F113" s="84"/>
      <c r="G113" s="86"/>
      <c r="I113" s="80"/>
      <c r="J113" s="80"/>
      <c r="K113" s="132"/>
    </row>
    <row r="114" spans="1:11" x14ac:dyDescent="0.3">
      <c r="A114" s="7" t="s">
        <v>367</v>
      </c>
      <c r="B114" s="5"/>
      <c r="C114" s="5"/>
      <c r="D114" s="131"/>
      <c r="E114" s="171" t="s">
        <v>367</v>
      </c>
      <c r="F114" s="171"/>
      <c r="G114" s="171"/>
      <c r="I114" s="7" t="s">
        <v>399</v>
      </c>
      <c r="J114" s="5"/>
      <c r="K114" s="25"/>
    </row>
    <row r="115" spans="1:11" x14ac:dyDescent="0.3">
      <c r="A115" s="84" t="s">
        <v>343</v>
      </c>
      <c r="B115" s="80" t="s">
        <v>14</v>
      </c>
      <c r="C115" s="132">
        <f>C79*SUM(C98:C102)</f>
        <v>19675.298270514962</v>
      </c>
      <c r="D115" s="122"/>
      <c r="E115" s="7" t="s">
        <v>402</v>
      </c>
      <c r="F115" s="5"/>
      <c r="G115" s="25"/>
      <c r="I115" s="7" t="s">
        <v>402</v>
      </c>
      <c r="J115" s="5"/>
      <c r="K115" s="25"/>
    </row>
    <row r="116" spans="1:11" x14ac:dyDescent="0.3">
      <c r="A116" s="84" t="s">
        <v>344</v>
      </c>
      <c r="B116" s="80" t="s">
        <v>14</v>
      </c>
      <c r="C116" s="132">
        <f>C80*SUM(C98:C102)</f>
        <v>14865.830468268423</v>
      </c>
      <c r="D116" s="122"/>
      <c r="E116" s="70" t="s">
        <v>183</v>
      </c>
      <c r="F116" s="80" t="s">
        <v>14</v>
      </c>
      <c r="G116" s="176">
        <f>((G81*(G67+G69))/G75)*G98</f>
        <v>18453.793246753248</v>
      </c>
      <c r="I116" s="70" t="s">
        <v>183</v>
      </c>
      <c r="J116" s="80" t="s">
        <v>14</v>
      </c>
      <c r="K116" s="155">
        <f>K81*K$69/K$75*K98</f>
        <v>5657.3672727272724</v>
      </c>
    </row>
    <row r="117" spans="1:11" x14ac:dyDescent="0.3">
      <c r="A117" s="84" t="s">
        <v>345</v>
      </c>
      <c r="B117" s="80" t="s">
        <v>14</v>
      </c>
      <c r="C117" s="159">
        <f>C81*SUM(C98:C102)</f>
        <v>34380.415164569553</v>
      </c>
      <c r="D117" s="122"/>
      <c r="E117" s="70" t="s">
        <v>184</v>
      </c>
      <c r="F117" s="80" t="s">
        <v>14</v>
      </c>
      <c r="G117" s="176">
        <f>(G82*(G67+G69))/G75*G99</f>
        <v>17011.042138370722</v>
      </c>
      <c r="I117" s="70" t="s">
        <v>184</v>
      </c>
      <c r="J117" s="80" t="s">
        <v>14</v>
      </c>
      <c r="K117" s="155">
        <f>K82*K$69/K$75*K99</f>
        <v>5199.6348297520663</v>
      </c>
    </row>
    <row r="118" spans="1:11" ht="12" customHeight="1" x14ac:dyDescent="0.3">
      <c r="A118" s="84" t="s">
        <v>347</v>
      </c>
      <c r="B118" s="80" t="s">
        <v>14</v>
      </c>
      <c r="C118" s="132">
        <f>C85*SUM(C98:C102)</f>
        <v>43171.754202085052</v>
      </c>
      <c r="D118" s="122"/>
      <c r="E118" s="70" t="s">
        <v>185</v>
      </c>
      <c r="F118" s="80" t="s">
        <v>14</v>
      </c>
      <c r="G118" s="176">
        <f>(G83*(G67+G69))/G75*G100</f>
        <v>15681.087934825371</v>
      </c>
      <c r="I118" s="70" t="s">
        <v>185</v>
      </c>
      <c r="J118" s="80" t="s">
        <v>14</v>
      </c>
      <c r="K118" s="155">
        <f>K83*K$69/K$75*K100</f>
        <v>4778.9371026175795</v>
      </c>
    </row>
    <row r="119" spans="1:11" x14ac:dyDescent="0.3">
      <c r="A119" s="214" t="s">
        <v>346</v>
      </c>
      <c r="B119" s="214" t="s">
        <v>14</v>
      </c>
      <c r="C119" s="212">
        <f>C118+C117+C116+C115</f>
        <v>112093.29810543799</v>
      </c>
      <c r="D119" s="122"/>
      <c r="E119" s="70" t="s">
        <v>186</v>
      </c>
      <c r="F119" s="80" t="s">
        <v>14</v>
      </c>
      <c r="G119" s="176">
        <f>(G84*(G67+G69))/G75*G101</f>
        <v>14455.111969011752</v>
      </c>
      <c r="I119" s="70" t="s">
        <v>186</v>
      </c>
      <c r="J119" s="80" t="s">
        <v>14</v>
      </c>
      <c r="K119" s="155">
        <f>K84*K$69/K$75*K101</f>
        <v>4392.277646133065</v>
      </c>
    </row>
    <row r="120" spans="1:11" x14ac:dyDescent="0.3">
      <c r="A120" s="84" t="s">
        <v>349</v>
      </c>
      <c r="B120" s="80" t="s">
        <v>14</v>
      </c>
      <c r="C120" s="122">
        <f>C88*SUM(C98:C102)</f>
        <v>3320.7292100018003</v>
      </c>
      <c r="D120" s="122"/>
      <c r="E120" s="70" t="s">
        <v>187</v>
      </c>
      <c r="F120" s="80" t="s">
        <v>14</v>
      </c>
      <c r="G120" s="176">
        <f>(G85*(G67+G69))/G75*G102</f>
        <v>13324.985033252648</v>
      </c>
      <c r="I120" s="70" t="s">
        <v>187</v>
      </c>
      <c r="J120" s="80" t="s">
        <v>14</v>
      </c>
      <c r="K120" s="155">
        <f>K85*K$69/K$75*K102</f>
        <v>4036.9024547641161</v>
      </c>
    </row>
    <row r="121" spans="1:11" x14ac:dyDescent="0.3">
      <c r="A121" s="84" t="s">
        <v>350</v>
      </c>
      <c r="B121" s="80" t="s">
        <v>14</v>
      </c>
      <c r="C121" s="132">
        <f>((C60)*C44)*((C92*(1-C49))+(C93*C49))</f>
        <v>38060.948571428584</v>
      </c>
      <c r="D121" s="122"/>
      <c r="E121" s="133" t="s">
        <v>390</v>
      </c>
      <c r="F121" s="133" t="s">
        <v>14</v>
      </c>
      <c r="G121" s="134">
        <f>SUM(G116:G120)</f>
        <v>78926.020322213735</v>
      </c>
      <c r="I121" s="214" t="s">
        <v>390</v>
      </c>
      <c r="J121" s="214" t="s">
        <v>14</v>
      </c>
      <c r="K121" s="217">
        <f>SUM(K116:K120)</f>
        <v>24065.1193059941</v>
      </c>
    </row>
    <row r="122" spans="1:11" x14ac:dyDescent="0.3">
      <c r="A122" s="84" t="s">
        <v>235</v>
      </c>
      <c r="B122" s="80" t="s">
        <v>14</v>
      </c>
      <c r="C122" s="132">
        <f>((C61)*C44)*((C92*(1-C49))+(C93*C49))</f>
        <v>38251.253314285714</v>
      </c>
      <c r="D122" s="122"/>
      <c r="E122" s="171" t="s">
        <v>392</v>
      </c>
      <c r="F122" s="171"/>
      <c r="G122" s="171"/>
      <c r="I122" s="7" t="s">
        <v>403</v>
      </c>
      <c r="J122" s="5"/>
      <c r="K122" s="25"/>
    </row>
    <row r="123" spans="1:11" x14ac:dyDescent="0.3">
      <c r="A123" s="84" t="s">
        <v>236</v>
      </c>
      <c r="B123" s="80" t="s">
        <v>14</v>
      </c>
      <c r="C123" s="132">
        <f>((C62)*C44)*((C92*(1-C49))+(C93*C49))</f>
        <v>38442.509580857142</v>
      </c>
      <c r="D123" s="122"/>
      <c r="E123" s="84" t="s">
        <v>130</v>
      </c>
      <c r="F123" s="80" t="s">
        <v>14</v>
      </c>
      <c r="G123" s="184">
        <f>G73*G60*G49*G44*G98</f>
        <v>20299.172571428575</v>
      </c>
      <c r="I123" s="84" t="s">
        <v>130</v>
      </c>
      <c r="J123" s="80" t="s">
        <v>14</v>
      </c>
      <c r="K123" s="132">
        <f>K73*K50*K49*K44*K98</f>
        <v>24750.981818181819</v>
      </c>
    </row>
    <row r="124" spans="1:11" x14ac:dyDescent="0.3">
      <c r="A124" s="84" t="s">
        <v>237</v>
      </c>
      <c r="B124" s="80" t="s">
        <v>14</v>
      </c>
      <c r="C124" s="132">
        <f>((C63)*C44)*((C92*(1-C49))+(C93*C49))</f>
        <v>38634.722128761423</v>
      </c>
      <c r="D124" s="132"/>
      <c r="E124" s="84" t="s">
        <v>131</v>
      </c>
      <c r="F124" s="80" t="s">
        <v>129</v>
      </c>
      <c r="G124" s="184">
        <f>G74*G60*(1-G49)*G44*G98</f>
        <v>8996.2242077922074</v>
      </c>
      <c r="I124" s="84" t="s">
        <v>131</v>
      </c>
      <c r="J124" s="80" t="s">
        <v>129</v>
      </c>
      <c r="K124" s="132">
        <f>K74*K50*(1-K49)*K44*K98</f>
        <v>8721.774545454542</v>
      </c>
    </row>
    <row r="125" spans="1:11" x14ac:dyDescent="0.3">
      <c r="A125" s="84" t="s">
        <v>238</v>
      </c>
      <c r="B125" s="80" t="s">
        <v>14</v>
      </c>
      <c r="C125" s="132">
        <f>((C64)*C44)*((C92*(1-C49))+(C93*C49))</f>
        <v>38827.895739405227</v>
      </c>
      <c r="D125" s="86"/>
      <c r="E125" s="84" t="s">
        <v>134</v>
      </c>
      <c r="F125" s="80" t="s">
        <v>14</v>
      </c>
      <c r="G125" s="184">
        <f>G73*G61*G49*G44*G99</f>
        <v>18712.146352207794</v>
      </c>
      <c r="I125" s="84" t="s">
        <v>134</v>
      </c>
      <c r="J125" s="80" t="s">
        <v>14</v>
      </c>
      <c r="K125" s="132">
        <f>K73*K51*K49*K44*K99</f>
        <v>22748.402380165287</v>
      </c>
    </row>
    <row r="126" spans="1:11" x14ac:dyDescent="0.3">
      <c r="A126" s="231" t="s">
        <v>351</v>
      </c>
      <c r="B126" s="232" t="s">
        <v>14</v>
      </c>
      <c r="C126" s="233">
        <f>C121*C98+C122*C99+C123*C100+C124*C101+C125*C102</f>
        <v>145592.99826677435</v>
      </c>
      <c r="D126" s="86"/>
      <c r="E126" s="84" t="s">
        <v>135</v>
      </c>
      <c r="F126" s="80" t="s">
        <v>129</v>
      </c>
      <c r="G126" s="184">
        <f>G74*G61*(1-G49)*G44*G99</f>
        <v>8292.8830424557254</v>
      </c>
      <c r="I126" s="84" t="s">
        <v>135</v>
      </c>
      <c r="J126" s="80" t="s">
        <v>129</v>
      </c>
      <c r="K126" s="132">
        <f>K74*K51*(1-K49)*K44*K99</f>
        <v>8016.1036958677669</v>
      </c>
    </row>
    <row r="127" spans="1:11" x14ac:dyDescent="0.3">
      <c r="A127" s="133" t="s">
        <v>365</v>
      </c>
      <c r="B127" s="133" t="s">
        <v>14</v>
      </c>
      <c r="C127" s="134">
        <f>C119+C120+C126</f>
        <v>261007.02558221412</v>
      </c>
      <c r="D127" s="86"/>
      <c r="E127" s="84" t="s">
        <v>136</v>
      </c>
      <c r="F127" s="80" t="s">
        <v>14</v>
      </c>
      <c r="G127" s="184">
        <f>G73*G62*G49*G44*G100</f>
        <v>17249.196728307907</v>
      </c>
      <c r="I127" s="84" t="s">
        <v>136</v>
      </c>
      <c r="J127" s="80" t="s">
        <v>14</v>
      </c>
      <c r="K127" s="132">
        <f>K73*K52*K49*K44*K100</f>
        <v>20907.84982395191</v>
      </c>
    </row>
    <row r="128" spans="1:11" x14ac:dyDescent="0.3">
      <c r="A128" s="84"/>
      <c r="B128" s="84"/>
      <c r="C128" s="86"/>
      <c r="D128" s="90"/>
      <c r="E128" s="84" t="s">
        <v>137</v>
      </c>
      <c r="F128" s="80" t="s">
        <v>129</v>
      </c>
      <c r="G128" s="184">
        <f>G74*G62*(1-G49)*G44*G100</f>
        <v>7644.530368227367</v>
      </c>
      <c r="I128" s="84" t="s">
        <v>137</v>
      </c>
      <c r="J128" s="80" t="s">
        <v>129</v>
      </c>
      <c r="K128" s="132">
        <f>K74*K52*(1-K49)*K44*K100</f>
        <v>7367.5280332021002</v>
      </c>
    </row>
    <row r="129" spans="1:11" ht="12" customHeight="1" x14ac:dyDescent="0.3">
      <c r="A129" s="84"/>
      <c r="B129" s="84"/>
      <c r="C129" s="86"/>
      <c r="D129" s="89"/>
      <c r="E129" s="84" t="s">
        <v>138</v>
      </c>
      <c r="F129" s="80" t="s">
        <v>14</v>
      </c>
      <c r="G129" s="184">
        <f>G73*G63*G49*G44*G101</f>
        <v>15900.623165912928</v>
      </c>
      <c r="I129" s="84" t="s">
        <v>138</v>
      </c>
      <c r="J129" s="80" t="s">
        <v>14</v>
      </c>
      <c r="K129" s="132">
        <f>K73*K53*K49*K44*K101</f>
        <v>19216.214701832163</v>
      </c>
    </row>
    <row r="130" spans="1:11" ht="12" customHeight="1" x14ac:dyDescent="0.3">
      <c r="A130" s="84"/>
      <c r="B130" s="84"/>
      <c r="C130" s="86"/>
      <c r="D130" s="157"/>
      <c r="E130" s="84" t="s">
        <v>139</v>
      </c>
      <c r="F130" s="80" t="s">
        <v>129</v>
      </c>
      <c r="G130" s="184">
        <f>G74*G63*(1-G49)*G44*G101</f>
        <v>7046.867084893227</v>
      </c>
      <c r="I130" s="84" t="s">
        <v>139</v>
      </c>
      <c r="J130" s="80" t="s">
        <v>129</v>
      </c>
      <c r="K130" s="132">
        <f>K74*K53*(1-K49)*K44*K101</f>
        <v>6771.4280377884725</v>
      </c>
    </row>
    <row r="131" spans="1:11" x14ac:dyDescent="0.3">
      <c r="A131" s="84"/>
      <c r="B131" s="84"/>
      <c r="C131" s="86"/>
      <c r="D131" s="157"/>
      <c r="E131" s="84" t="s">
        <v>132</v>
      </c>
      <c r="F131" s="80" t="s">
        <v>14</v>
      </c>
      <c r="G131" s="184">
        <f>G73*G64*G49*G44*G102</f>
        <v>14657.483536577911</v>
      </c>
      <c r="I131" s="84" t="s">
        <v>132</v>
      </c>
      <c r="J131" s="80" t="s">
        <v>14</v>
      </c>
      <c r="K131" s="132">
        <f>K73*K54*K49*K44*K102</f>
        <v>17661.448239593014</v>
      </c>
    </row>
    <row r="132" spans="1:11" x14ac:dyDescent="0.3">
      <c r="A132" s="84"/>
      <c r="B132" s="84"/>
      <c r="C132" s="86"/>
      <c r="D132" s="122"/>
      <c r="E132" s="84" t="s">
        <v>133</v>
      </c>
      <c r="F132" s="80" t="s">
        <v>14</v>
      </c>
      <c r="G132" s="184">
        <f>G74*G64*(1-G49)*G44*G102</f>
        <v>6495.9302037106645</v>
      </c>
      <c r="I132" s="84" t="s">
        <v>133</v>
      </c>
      <c r="J132" s="80" t="s">
        <v>14</v>
      </c>
      <c r="K132" s="132">
        <f>K74*K54*(1-K49)*K44*K102</f>
        <v>6223.5579510946782</v>
      </c>
    </row>
    <row r="133" spans="1:11" ht="12" customHeight="1" x14ac:dyDescent="0.3">
      <c r="A133" s="84"/>
      <c r="B133" s="84"/>
      <c r="C133" s="86"/>
      <c r="D133" s="158"/>
      <c r="E133" s="133" t="s">
        <v>365</v>
      </c>
      <c r="F133" s="133" t="s">
        <v>14</v>
      </c>
      <c r="G133" s="134">
        <f>SUM(G123:G132)</f>
        <v>125295.0572615143</v>
      </c>
      <c r="I133" s="133" t="s">
        <v>404</v>
      </c>
      <c r="J133" s="133" t="s">
        <v>14</v>
      </c>
      <c r="K133" s="134">
        <f>SUM(K123:K132)</f>
        <v>142385.28922713175</v>
      </c>
    </row>
    <row r="134" spans="1:11" ht="12" customHeight="1" x14ac:dyDescent="0.3">
      <c r="A134" s="84"/>
      <c r="B134" s="84"/>
      <c r="C134" s="86"/>
      <c r="D134" s="158"/>
      <c r="E134" s="80"/>
      <c r="F134" s="80"/>
      <c r="G134" s="184"/>
      <c r="I134" s="80"/>
      <c r="J134" s="80"/>
      <c r="K134" s="132"/>
    </row>
    <row r="135" spans="1:11" ht="12" customHeight="1" x14ac:dyDescent="0.3">
      <c r="A135" s="7" t="s">
        <v>366</v>
      </c>
      <c r="B135" s="7"/>
      <c r="C135" s="29"/>
      <c r="D135" s="122"/>
      <c r="E135" s="7" t="s">
        <v>366</v>
      </c>
      <c r="F135" s="7"/>
      <c r="G135" s="7"/>
      <c r="I135" s="7" t="s">
        <v>405</v>
      </c>
      <c r="J135" s="7"/>
      <c r="K135" s="25"/>
    </row>
    <row r="136" spans="1:11" ht="12" customHeight="1" x14ac:dyDescent="0.3">
      <c r="A136" s="84" t="s">
        <v>95</v>
      </c>
      <c r="B136" s="84" t="s">
        <v>144</v>
      </c>
      <c r="C136" s="122">
        <f>(C108-C109)+C110+C127-C104</f>
        <v>590370.03290196706</v>
      </c>
      <c r="D136" s="122"/>
      <c r="E136" s="84" t="s">
        <v>95</v>
      </c>
      <c r="F136" s="84" t="s">
        <v>144</v>
      </c>
      <c r="G136" s="86">
        <f>(G108-G111+G121)+G112+G133-G104</f>
        <v>593958.73518841807</v>
      </c>
      <c r="I136" s="84" t="s">
        <v>95</v>
      </c>
      <c r="J136" s="84" t="s">
        <v>51</v>
      </c>
      <c r="K136" s="122">
        <f>(K108-K109)+K121+K110+K133</f>
        <v>505350.09317965835</v>
      </c>
    </row>
    <row r="137" spans="1:11" ht="12" customHeight="1" x14ac:dyDescent="0.3">
      <c r="A137" s="84" t="s">
        <v>140</v>
      </c>
      <c r="B137" s="84" t="s">
        <v>19</v>
      </c>
      <c r="C137" s="122">
        <f>C136/C107</f>
        <v>118074.00658039341</v>
      </c>
      <c r="D137" s="122"/>
      <c r="E137" s="84" t="s">
        <v>140</v>
      </c>
      <c r="F137" s="84" t="s">
        <v>19</v>
      </c>
      <c r="G137" s="86">
        <f>G136/G107</f>
        <v>118791.74703768361</v>
      </c>
      <c r="I137" s="84" t="s">
        <v>52</v>
      </c>
      <c r="J137" s="84" t="s">
        <v>53</v>
      </c>
      <c r="K137" s="122">
        <f>K136/K107</f>
        <v>101070.01863593167</v>
      </c>
    </row>
    <row r="138" spans="1:11" ht="12" customHeight="1" x14ac:dyDescent="0.3">
      <c r="A138" s="84" t="s">
        <v>54</v>
      </c>
      <c r="B138" s="84" t="s">
        <v>55</v>
      </c>
      <c r="C138" s="122">
        <f>C136/((C42+C43)*C45*C44*C107)</f>
        <v>1.1793921890164865</v>
      </c>
      <c r="D138" s="89"/>
      <c r="E138" s="84" t="s">
        <v>54</v>
      </c>
      <c r="F138" s="84" t="s">
        <v>55</v>
      </c>
      <c r="G138" s="86">
        <f>G136/((G42+G43)*G45*G44*G107)</f>
        <v>1.186561400205173</v>
      </c>
      <c r="I138" s="84" t="s">
        <v>54</v>
      </c>
      <c r="J138" s="84" t="s">
        <v>55</v>
      </c>
      <c r="K138" s="122">
        <f>K136/((K42+K43)*K45*K44*K107)</f>
        <v>1.0095464190232899</v>
      </c>
    </row>
    <row r="139" spans="1:11" ht="12" customHeight="1" x14ac:dyDescent="0.3">
      <c r="A139" s="84"/>
      <c r="B139" s="84"/>
      <c r="C139" s="122"/>
      <c r="D139" s="122"/>
      <c r="E139" s="84"/>
      <c r="F139" s="84"/>
      <c r="G139" s="86"/>
      <c r="I139" s="80"/>
      <c r="J139" s="80"/>
      <c r="K139" s="132"/>
    </row>
    <row r="140" spans="1:11" x14ac:dyDescent="0.3">
      <c r="A140" s="58" t="s">
        <v>141</v>
      </c>
      <c r="B140" s="58"/>
      <c r="C140" s="59"/>
      <c r="D140" s="132"/>
      <c r="E140" s="58" t="s">
        <v>141</v>
      </c>
      <c r="F140" s="58"/>
      <c r="G140" s="59"/>
      <c r="I140" s="61" t="s">
        <v>141</v>
      </c>
      <c r="J140" s="61"/>
      <c r="K140" s="62"/>
    </row>
    <row r="141" spans="1:11" x14ac:dyDescent="0.3">
      <c r="A141" s="7" t="s">
        <v>143</v>
      </c>
      <c r="B141" s="7"/>
      <c r="C141" s="7"/>
      <c r="D141" s="132"/>
      <c r="E141" s="7" t="s">
        <v>143</v>
      </c>
      <c r="F141" s="7"/>
      <c r="G141" s="7"/>
      <c r="I141" s="7" t="s">
        <v>143</v>
      </c>
      <c r="J141" s="7"/>
      <c r="K141" s="7"/>
    </row>
    <row r="142" spans="1:11" x14ac:dyDescent="0.3">
      <c r="A142" s="84" t="s">
        <v>95</v>
      </c>
      <c r="B142" s="84" t="s">
        <v>144</v>
      </c>
      <c r="C142" s="138">
        <f>C136-K136</f>
        <v>85019.939722308714</v>
      </c>
      <c r="D142" s="122"/>
      <c r="E142" s="84" t="s">
        <v>95</v>
      </c>
      <c r="F142" s="84" t="s">
        <v>144</v>
      </c>
      <c r="G142" s="186">
        <f>C142</f>
        <v>85019.939722308714</v>
      </c>
      <c r="I142" s="84" t="s">
        <v>95</v>
      </c>
      <c r="J142" s="84" t="s">
        <v>144</v>
      </c>
      <c r="K142" s="138">
        <f>C142</f>
        <v>85019.939722308714</v>
      </c>
    </row>
    <row r="143" spans="1:11" ht="12" customHeight="1" x14ac:dyDescent="0.3">
      <c r="A143" s="84" t="s">
        <v>140</v>
      </c>
      <c r="B143" s="84" t="s">
        <v>19</v>
      </c>
      <c r="C143" s="138">
        <f t="shared" ref="C143:C144" si="7">C137-K137</f>
        <v>17003.98794446174</v>
      </c>
      <c r="D143" s="122"/>
      <c r="E143" s="84" t="s">
        <v>140</v>
      </c>
      <c r="F143" s="84" t="s">
        <v>19</v>
      </c>
      <c r="G143" s="186">
        <f>C143</f>
        <v>17003.98794446174</v>
      </c>
      <c r="I143" s="84" t="s">
        <v>140</v>
      </c>
      <c r="J143" s="84" t="s">
        <v>19</v>
      </c>
      <c r="K143" s="138">
        <f t="shared" ref="K143:K154" si="8">C143</f>
        <v>17003.98794446174</v>
      </c>
    </row>
    <row r="144" spans="1:11" ht="12" customHeight="1" x14ac:dyDescent="0.3">
      <c r="A144" s="84" t="s">
        <v>54</v>
      </c>
      <c r="B144" s="84" t="s">
        <v>55</v>
      </c>
      <c r="C144" s="138">
        <f t="shared" si="7"/>
        <v>0.16984576999319656</v>
      </c>
      <c r="D144" s="122"/>
      <c r="E144" s="84" t="s">
        <v>54</v>
      </c>
      <c r="F144" s="84" t="s">
        <v>55</v>
      </c>
      <c r="G144" s="186">
        <f>C144</f>
        <v>0.16984576999319656</v>
      </c>
      <c r="I144" s="84" t="s">
        <v>54</v>
      </c>
      <c r="J144" s="84" t="s">
        <v>55</v>
      </c>
      <c r="K144" s="138">
        <f t="shared" si="8"/>
        <v>0.16984576999319656</v>
      </c>
    </row>
    <row r="145" spans="1:11" ht="12" customHeight="1" x14ac:dyDescent="0.3">
      <c r="A145" s="84"/>
      <c r="B145" s="84"/>
      <c r="C145" s="138"/>
      <c r="D145" s="122"/>
      <c r="E145" s="84"/>
      <c r="F145" s="80"/>
      <c r="G145" s="183"/>
      <c r="I145" s="84"/>
      <c r="J145" s="84"/>
      <c r="K145" s="138"/>
    </row>
    <row r="146" spans="1:11" ht="12" customHeight="1" x14ac:dyDescent="0.3">
      <c r="A146" s="7" t="s">
        <v>142</v>
      </c>
      <c r="B146" s="7"/>
      <c r="C146" s="7"/>
      <c r="D146" s="122"/>
      <c r="E146" s="7" t="s">
        <v>142</v>
      </c>
      <c r="F146" s="7"/>
      <c r="G146" s="7"/>
      <c r="I146" s="7" t="s">
        <v>142</v>
      </c>
      <c r="J146" s="7"/>
      <c r="K146" s="7"/>
    </row>
    <row r="147" spans="1:11" ht="12" customHeight="1" x14ac:dyDescent="0.3">
      <c r="A147" s="84" t="s">
        <v>95</v>
      </c>
      <c r="B147" s="84" t="s">
        <v>144</v>
      </c>
      <c r="C147" s="138">
        <f>C136-G136</f>
        <v>-3588.7022864510072</v>
      </c>
      <c r="D147" s="122"/>
      <c r="E147" s="84" t="s">
        <v>95</v>
      </c>
      <c r="F147" s="84" t="s">
        <v>144</v>
      </c>
      <c r="G147" s="199">
        <f>C147</f>
        <v>-3588.7022864510072</v>
      </c>
      <c r="I147" s="84" t="s">
        <v>95</v>
      </c>
      <c r="J147" s="84" t="s">
        <v>144</v>
      </c>
      <c r="K147" s="138">
        <f t="shared" si="8"/>
        <v>-3588.7022864510072</v>
      </c>
    </row>
    <row r="148" spans="1:11" ht="12" customHeight="1" x14ac:dyDescent="0.3">
      <c r="A148" s="84" t="s">
        <v>140</v>
      </c>
      <c r="B148" s="84" t="s">
        <v>19</v>
      </c>
      <c r="C148" s="138">
        <f t="shared" ref="C148:C149" si="9">C137-G137</f>
        <v>-717.74045729020145</v>
      </c>
      <c r="D148" s="122"/>
      <c r="E148" s="84" t="s">
        <v>140</v>
      </c>
      <c r="F148" s="84" t="s">
        <v>19</v>
      </c>
      <c r="G148" s="199">
        <f>C148</f>
        <v>-717.74045729020145</v>
      </c>
      <c r="I148" s="84" t="s">
        <v>140</v>
      </c>
      <c r="J148" s="84" t="s">
        <v>19</v>
      </c>
      <c r="K148" s="138">
        <f t="shared" si="8"/>
        <v>-717.74045729020145</v>
      </c>
    </row>
    <row r="149" spans="1:11" ht="12" customHeight="1" x14ac:dyDescent="0.3">
      <c r="A149" s="84" t="s">
        <v>54</v>
      </c>
      <c r="B149" s="84" t="s">
        <v>55</v>
      </c>
      <c r="C149" s="138">
        <f t="shared" si="9"/>
        <v>-7.1692111886865195E-3</v>
      </c>
      <c r="D149" s="122"/>
      <c r="E149" s="84" t="s">
        <v>54</v>
      </c>
      <c r="F149" s="84" t="s">
        <v>55</v>
      </c>
      <c r="G149" s="199">
        <f>C149</f>
        <v>-7.1692111886865195E-3</v>
      </c>
      <c r="I149" s="84" t="s">
        <v>54</v>
      </c>
      <c r="J149" s="84" t="s">
        <v>55</v>
      </c>
      <c r="K149" s="138">
        <f t="shared" si="8"/>
        <v>-7.1692111886865195E-3</v>
      </c>
    </row>
    <row r="150" spans="1:11" ht="12" customHeight="1" x14ac:dyDescent="0.3">
      <c r="A150" s="84"/>
      <c r="B150" s="80"/>
      <c r="C150" s="139"/>
      <c r="D150" s="122"/>
      <c r="E150" s="84"/>
      <c r="F150" s="84"/>
      <c r="G150" s="86"/>
      <c r="I150" s="84"/>
      <c r="J150" s="80"/>
      <c r="K150" s="138"/>
    </row>
    <row r="151" spans="1:11" ht="12" customHeight="1" x14ac:dyDescent="0.3">
      <c r="A151" s="7" t="s">
        <v>243</v>
      </c>
      <c r="B151" s="7"/>
      <c r="C151" s="7"/>
      <c r="D151" s="122"/>
      <c r="E151" s="7" t="s">
        <v>243</v>
      </c>
      <c r="F151" s="7"/>
      <c r="G151" s="7"/>
      <c r="I151" s="7" t="s">
        <v>243</v>
      </c>
      <c r="J151" s="7"/>
      <c r="K151" s="7"/>
    </row>
    <row r="152" spans="1:11" ht="12" customHeight="1" x14ac:dyDescent="0.3">
      <c r="A152" s="84" t="s">
        <v>95</v>
      </c>
      <c r="B152" s="84" t="s">
        <v>144</v>
      </c>
      <c r="C152" s="138">
        <f>G136-K136</f>
        <v>88608.642008759722</v>
      </c>
      <c r="D152" s="122"/>
      <c r="E152" s="84" t="s">
        <v>95</v>
      </c>
      <c r="F152" s="84" t="s">
        <v>144</v>
      </c>
      <c r="G152" s="186">
        <f>C152</f>
        <v>88608.642008759722</v>
      </c>
      <c r="I152" s="84" t="s">
        <v>95</v>
      </c>
      <c r="J152" s="84" t="s">
        <v>144</v>
      </c>
      <c r="K152" s="138">
        <f t="shared" si="8"/>
        <v>88608.642008759722</v>
      </c>
    </row>
    <row r="153" spans="1:11" ht="12" customHeight="1" x14ac:dyDescent="0.3">
      <c r="A153" s="84" t="s">
        <v>140</v>
      </c>
      <c r="B153" s="84" t="s">
        <v>19</v>
      </c>
      <c r="C153" s="138">
        <f t="shared" ref="C153:C154" si="10">G137-K137</f>
        <v>17721.728401751941</v>
      </c>
      <c r="D153" s="122"/>
      <c r="E153" s="84" t="s">
        <v>140</v>
      </c>
      <c r="F153" s="84" t="s">
        <v>19</v>
      </c>
      <c r="G153" s="186">
        <f>C153</f>
        <v>17721.728401751941</v>
      </c>
      <c r="I153" s="84" t="s">
        <v>140</v>
      </c>
      <c r="J153" s="84" t="s">
        <v>19</v>
      </c>
      <c r="K153" s="138">
        <f t="shared" si="8"/>
        <v>17721.728401751941</v>
      </c>
    </row>
    <row r="154" spans="1:11" ht="12" customHeight="1" x14ac:dyDescent="0.3">
      <c r="A154" s="84" t="s">
        <v>54</v>
      </c>
      <c r="B154" s="84" t="s">
        <v>55</v>
      </c>
      <c r="C154" s="138">
        <f t="shared" si="10"/>
        <v>0.17701498118188308</v>
      </c>
      <c r="D154" s="122"/>
      <c r="E154" s="84" t="s">
        <v>54</v>
      </c>
      <c r="F154" s="84" t="s">
        <v>55</v>
      </c>
      <c r="G154" s="186">
        <f>C154</f>
        <v>0.17701498118188308</v>
      </c>
      <c r="I154" s="84" t="s">
        <v>54</v>
      </c>
      <c r="J154" s="84" t="s">
        <v>55</v>
      </c>
      <c r="K154" s="138">
        <f t="shared" si="8"/>
        <v>0.17701498118188308</v>
      </c>
    </row>
    <row r="155" spans="1:11" ht="12" customHeight="1" x14ac:dyDescent="0.3">
      <c r="A155" s="84"/>
      <c r="B155" s="84"/>
      <c r="C155" s="138"/>
      <c r="D155" s="89"/>
      <c r="E155" s="84"/>
      <c r="F155" s="84"/>
      <c r="G155" s="186"/>
      <c r="I155" s="84"/>
      <c r="J155" s="84"/>
      <c r="K155" s="138"/>
    </row>
    <row r="156" spans="1:11" ht="12" customHeight="1" x14ac:dyDescent="0.3">
      <c r="A156" s="46"/>
      <c r="B156" s="46"/>
      <c r="C156" s="54"/>
      <c r="D156" s="122"/>
      <c r="E156" s="46"/>
      <c r="F156" s="46"/>
      <c r="G156" s="54"/>
      <c r="I156" s="46"/>
      <c r="J156" s="46"/>
      <c r="K156" s="54"/>
    </row>
    <row r="157" spans="1:11" ht="12" customHeight="1" x14ac:dyDescent="0.3">
      <c r="A157" s="12" t="s">
        <v>310</v>
      </c>
      <c r="B157" s="53"/>
      <c r="C157" s="53"/>
      <c r="D157" s="137"/>
      <c r="E157" s="7" t="s">
        <v>122</v>
      </c>
      <c r="F157" s="7"/>
      <c r="G157" s="7"/>
      <c r="I157" s="7" t="s">
        <v>360</v>
      </c>
      <c r="J157" s="5"/>
      <c r="K157" s="25"/>
    </row>
    <row r="158" spans="1:11" ht="12" customHeight="1" x14ac:dyDescent="0.3">
      <c r="A158" s="80" t="s">
        <v>298</v>
      </c>
      <c r="B158" s="80" t="s">
        <v>14</v>
      </c>
      <c r="C158" s="93">
        <f>C68+C69+C67</f>
        <v>7479516</v>
      </c>
      <c r="D158" s="132"/>
      <c r="E158" s="70"/>
      <c r="F158" s="71"/>
      <c r="G158" s="180"/>
      <c r="I158" s="70"/>
      <c r="J158" s="71"/>
      <c r="K158" s="78"/>
    </row>
    <row r="159" spans="1:11" ht="12" customHeight="1" x14ac:dyDescent="0.3">
      <c r="A159" s="80" t="s">
        <v>300</v>
      </c>
      <c r="B159" s="80" t="s">
        <v>14</v>
      </c>
      <c r="C159" s="92">
        <f>C$77+C$78+(C60*C$44*C$89*(1-C$49)+C60*C$44*C$90*C$49)*C$75</f>
        <v>1235259.1885714286</v>
      </c>
      <c r="D159" s="122"/>
      <c r="E159" s="70" t="s">
        <v>119</v>
      </c>
      <c r="F159" s="74" t="s">
        <v>14</v>
      </c>
      <c r="G159" s="176">
        <v>15.78</v>
      </c>
      <c r="I159" s="70" t="s">
        <v>119</v>
      </c>
      <c r="J159" s="74" t="s">
        <v>14</v>
      </c>
      <c r="K159" s="155">
        <v>15.78</v>
      </c>
    </row>
    <row r="160" spans="1:11" ht="12" customHeight="1" x14ac:dyDescent="0.3">
      <c r="A160" s="80" t="s">
        <v>301</v>
      </c>
      <c r="B160" s="80" t="s">
        <v>14</v>
      </c>
      <c r="C160" s="92">
        <f t="shared" ref="C160:C163" si="11">C$77+C$78+(C61*C$44*C$89*(1-C$49)+C61*C$44*C$90*C$49)*C$75</f>
        <v>1240111.9595142857</v>
      </c>
      <c r="D160" s="122"/>
      <c r="E160" s="70" t="s">
        <v>120</v>
      </c>
      <c r="F160" s="74" t="s">
        <v>121</v>
      </c>
      <c r="G160" s="177">
        <v>48</v>
      </c>
      <c r="I160" s="70" t="s">
        <v>120</v>
      </c>
      <c r="J160" s="74" t="s">
        <v>121</v>
      </c>
      <c r="K160" s="146">
        <v>48</v>
      </c>
    </row>
    <row r="161" spans="1:11" ht="12" customHeight="1" x14ac:dyDescent="0.3">
      <c r="A161" s="80" t="s">
        <v>302</v>
      </c>
      <c r="B161" s="80" t="s">
        <v>14</v>
      </c>
      <c r="C161" s="92">
        <f t="shared" si="11"/>
        <v>1244988.994311857</v>
      </c>
      <c r="D161" s="122"/>
      <c r="E161" s="70" t="s">
        <v>18</v>
      </c>
      <c r="F161" s="74" t="s">
        <v>19</v>
      </c>
      <c r="G161" s="180">
        <f>G44/(G160/9)*G160*G159</f>
        <v>41469.839999999997</v>
      </c>
      <c r="I161" s="70" t="s">
        <v>18</v>
      </c>
      <c r="J161" s="74" t="s">
        <v>19</v>
      </c>
      <c r="K161" s="78">
        <f>K44/(K160/9)*K160*K159</f>
        <v>41469.839999999997</v>
      </c>
    </row>
    <row r="162" spans="1:11" ht="12" customHeight="1" x14ac:dyDescent="0.3">
      <c r="A162" s="80" t="s">
        <v>303</v>
      </c>
      <c r="B162" s="80" t="s">
        <v>14</v>
      </c>
      <c r="C162" s="92">
        <f t="shared" si="11"/>
        <v>1249890.4142834162</v>
      </c>
      <c r="D162" s="122"/>
      <c r="E162" s="80"/>
      <c r="F162" s="80"/>
      <c r="G162" s="184"/>
      <c r="I162" s="80"/>
      <c r="J162" s="80"/>
      <c r="K162" s="132"/>
    </row>
    <row r="163" spans="1:11" ht="12" customHeight="1" x14ac:dyDescent="0.3">
      <c r="A163" s="80" t="s">
        <v>304</v>
      </c>
      <c r="B163" s="80" t="s">
        <v>14</v>
      </c>
      <c r="C163" s="92">
        <f t="shared" si="11"/>
        <v>1254816.341354833</v>
      </c>
      <c r="D163" s="122"/>
      <c r="E163" s="70"/>
      <c r="F163" s="74"/>
      <c r="G163" s="156"/>
    </row>
    <row r="164" spans="1:11" ht="12" customHeight="1" x14ac:dyDescent="0.3">
      <c r="A164" s="80" t="s">
        <v>305</v>
      </c>
      <c r="B164" s="80" t="s">
        <v>14</v>
      </c>
      <c r="C164" s="93">
        <f>((C$83+C$86)*12+C$87*C$46*C$44+((C60)*C$44)*((C$92*(1-C$49))+(C$93*C$49)))*C$75</f>
        <v>3493850.7895064941</v>
      </c>
      <c r="D164" s="122"/>
    </row>
    <row r="165" spans="1:11" ht="12" customHeight="1" x14ac:dyDescent="0.3">
      <c r="A165" s="80" t="s">
        <v>306</v>
      </c>
      <c r="B165" s="80" t="s">
        <v>14</v>
      </c>
      <c r="C165" s="93">
        <f t="shared" ref="C165:C168" si="12">((C$83+C$86)*12+C$87*C$46*C$44+((C61)*C$44)*((C$92*(1-C$49))+(C$93*C$49)))*C$75</f>
        <v>3503556.3313922076</v>
      </c>
      <c r="D165" s="122"/>
    </row>
    <row r="166" spans="1:11" ht="12" customHeight="1" x14ac:dyDescent="0.3">
      <c r="A166" s="80" t="s">
        <v>307</v>
      </c>
      <c r="B166" s="80" t="s">
        <v>14</v>
      </c>
      <c r="C166" s="93">
        <f t="shared" si="12"/>
        <v>3513310.4009873508</v>
      </c>
      <c r="D166" s="122"/>
    </row>
    <row r="167" spans="1:11" ht="12" customHeight="1" x14ac:dyDescent="0.3">
      <c r="A167" s="80" t="s">
        <v>308</v>
      </c>
      <c r="B167" s="80" t="s">
        <v>14</v>
      </c>
      <c r="C167" s="93">
        <f t="shared" si="12"/>
        <v>3523113.2409304688</v>
      </c>
      <c r="D167" s="122"/>
    </row>
    <row r="168" spans="1:11" ht="12" customHeight="1" x14ac:dyDescent="0.3">
      <c r="A168" s="80" t="s">
        <v>309</v>
      </c>
      <c r="B168" s="80" t="s">
        <v>14</v>
      </c>
      <c r="C168" s="93">
        <f t="shared" si="12"/>
        <v>3532965.0950733027</v>
      </c>
      <c r="D168" s="122"/>
    </row>
    <row r="169" spans="1:11" ht="12" customHeight="1" x14ac:dyDescent="0.3">
      <c r="A169" s="228" t="s">
        <v>409</v>
      </c>
      <c r="B169" s="53"/>
      <c r="C169" s="227" t="s">
        <v>313</v>
      </c>
      <c r="D169" s="122"/>
    </row>
    <row r="170" spans="1:11" ht="12" customHeight="1" x14ac:dyDescent="0.3">
      <c r="A170" s="94">
        <v>36891</v>
      </c>
      <c r="B170" s="80" t="s">
        <v>14</v>
      </c>
      <c r="C170" s="96">
        <f>-C158</f>
        <v>-7479516</v>
      </c>
      <c r="D170" s="122"/>
    </row>
    <row r="171" spans="1:11" ht="12" customHeight="1" x14ac:dyDescent="0.3">
      <c r="A171" s="94">
        <f>EDATE(A170,12)</f>
        <v>37256</v>
      </c>
      <c r="B171" s="80" t="s">
        <v>14</v>
      </c>
      <c r="C171" s="95">
        <f>C164-C159</f>
        <v>2258591.6009350652</v>
      </c>
      <c r="D171" s="122"/>
    </row>
    <row r="172" spans="1:11" ht="12" customHeight="1" x14ac:dyDescent="0.3">
      <c r="A172" s="94">
        <f>EDATE(A171,12)</f>
        <v>37621</v>
      </c>
      <c r="B172" s="80" t="s">
        <v>14</v>
      </c>
      <c r="C172" s="95">
        <f>C165-C160</f>
        <v>2263444.3718779217</v>
      </c>
      <c r="D172" s="139"/>
    </row>
    <row r="173" spans="1:11" ht="12" customHeight="1" x14ac:dyDescent="0.3">
      <c r="A173" s="94">
        <f>EDATE(A172,12)</f>
        <v>37986</v>
      </c>
      <c r="B173" s="80" t="s">
        <v>14</v>
      </c>
      <c r="C173" s="95">
        <f>C166-C161</f>
        <v>2268321.4066754938</v>
      </c>
      <c r="D173" s="70"/>
    </row>
    <row r="174" spans="1:11" ht="12" customHeight="1" x14ac:dyDescent="0.3">
      <c r="A174" s="94">
        <f>EDATE(A173,12)</f>
        <v>38352</v>
      </c>
      <c r="B174" s="80" t="s">
        <v>14</v>
      </c>
      <c r="C174" s="95">
        <f>C167-C162</f>
        <v>2273222.8266470525</v>
      </c>
      <c r="D174" s="138"/>
    </row>
    <row r="175" spans="1:11" ht="12" customHeight="1" x14ac:dyDescent="0.3">
      <c r="A175" s="94">
        <f>EDATE(A174,12)</f>
        <v>38717</v>
      </c>
      <c r="B175" s="80" t="s">
        <v>14</v>
      </c>
      <c r="C175" s="95">
        <f>C168-C163</f>
        <v>2278148.7537184698</v>
      </c>
      <c r="D175" s="138"/>
    </row>
    <row r="176" spans="1:11" x14ac:dyDescent="0.3">
      <c r="A176" s="140" t="s">
        <v>311</v>
      </c>
      <c r="B176" s="141">
        <f>+XIRR(C170:C175,A170:A175,0)</f>
        <v>0.15668020996093757</v>
      </c>
      <c r="C176" s="57" t="s">
        <v>368</v>
      </c>
      <c r="D176" s="138"/>
    </row>
    <row r="177" spans="1:4" x14ac:dyDescent="0.3">
      <c r="A177" s="80"/>
      <c r="B177" s="80"/>
      <c r="C177" s="96">
        <f>C170+C171</f>
        <v>-5220924.3990649348</v>
      </c>
      <c r="D177" s="138"/>
    </row>
    <row r="178" spans="1:4" x14ac:dyDescent="0.3">
      <c r="A178" s="80"/>
      <c r="B178" s="80"/>
      <c r="C178" s="96">
        <f>C177+C172</f>
        <v>-2957480.0271870131</v>
      </c>
      <c r="D178" s="70"/>
    </row>
    <row r="179" spans="1:4" x14ac:dyDescent="0.3">
      <c r="A179" s="80"/>
      <c r="B179" s="80"/>
      <c r="C179" s="96">
        <f>C178+C173</f>
        <v>-689158.62051151926</v>
      </c>
      <c r="D179" s="138"/>
    </row>
    <row r="180" spans="1:4" x14ac:dyDescent="0.3">
      <c r="A180" s="80"/>
      <c r="B180" s="80"/>
      <c r="C180" s="96">
        <f>C179+C174</f>
        <v>1584064.2061355333</v>
      </c>
      <c r="D180" s="138"/>
    </row>
    <row r="181" spans="1:4" x14ac:dyDescent="0.3">
      <c r="A181" s="80"/>
      <c r="B181" s="80"/>
      <c r="C181" s="96">
        <f>C180+C175</f>
        <v>3862212.959854003</v>
      </c>
      <c r="D181" s="138"/>
    </row>
    <row r="182" spans="1:4" x14ac:dyDescent="0.3">
      <c r="A182" s="7" t="s">
        <v>360</v>
      </c>
      <c r="B182" s="5"/>
      <c r="C182" s="28"/>
      <c r="D182" s="139"/>
    </row>
    <row r="183" spans="1:4" x14ac:dyDescent="0.3">
      <c r="A183" s="70"/>
      <c r="B183" s="71"/>
      <c r="C183" s="72"/>
      <c r="D183" s="70"/>
    </row>
    <row r="184" spans="1:4" x14ac:dyDescent="0.3">
      <c r="A184" s="70" t="s">
        <v>119</v>
      </c>
      <c r="B184" s="74" t="s">
        <v>14</v>
      </c>
      <c r="C184" s="75">
        <v>15.78</v>
      </c>
      <c r="D184" s="138"/>
    </row>
    <row r="185" spans="1:4" x14ac:dyDescent="0.3">
      <c r="A185" s="70" t="s">
        <v>120</v>
      </c>
      <c r="B185" s="74" t="s">
        <v>121</v>
      </c>
      <c r="C185" s="75">
        <v>48</v>
      </c>
      <c r="D185" s="138"/>
    </row>
    <row r="186" spans="1:4" x14ac:dyDescent="0.3">
      <c r="A186" s="70" t="s">
        <v>18</v>
      </c>
      <c r="B186" s="74" t="s">
        <v>19</v>
      </c>
      <c r="C186" s="72">
        <f>C44/(C185/9)*C185*C184</f>
        <v>41469.839999999997</v>
      </c>
      <c r="D186" s="138"/>
    </row>
    <row r="187" spans="1:4" x14ac:dyDescent="0.3">
      <c r="D187" s="138"/>
    </row>
    <row r="190" spans="1:4" x14ac:dyDescent="0.3">
      <c r="D190" s="90"/>
    </row>
    <row r="191" spans="1:4" x14ac:dyDescent="0.3">
      <c r="D191" s="89"/>
    </row>
    <row r="193" spans="1:12" ht="12" customHeight="1" x14ac:dyDescent="0.3">
      <c r="D193" s="122"/>
    </row>
    <row r="194" spans="1:12" s="32" customFormat="1" ht="12" customHeight="1" x14ac:dyDescent="0.3">
      <c r="A194" s="3"/>
      <c r="B194" s="3"/>
      <c r="C194" s="27"/>
      <c r="D194" s="157"/>
      <c r="E194" s="3"/>
      <c r="F194" s="3"/>
      <c r="G194" s="65"/>
      <c r="H194" s="80"/>
      <c r="I194" s="3"/>
      <c r="J194" s="3"/>
      <c r="K194" s="20"/>
      <c r="L194" s="3"/>
    </row>
    <row r="195" spans="1:12" ht="12" customHeight="1" x14ac:dyDescent="0.3">
      <c r="D195" s="157"/>
      <c r="L195" s="32"/>
    </row>
    <row r="196" spans="1:12" ht="12" customHeight="1" x14ac:dyDescent="0.3">
      <c r="D196" s="157"/>
    </row>
    <row r="197" spans="1:12" ht="12" customHeight="1" x14ac:dyDescent="0.3"/>
    <row r="198" spans="1:12" ht="12" customHeight="1" x14ac:dyDescent="0.3"/>
    <row r="199" spans="1:12" ht="12" customHeight="1" x14ac:dyDescent="0.3">
      <c r="D199" s="122"/>
    </row>
    <row r="200" spans="1:12" ht="12" customHeight="1" x14ac:dyDescent="0.3">
      <c r="D200" s="122"/>
    </row>
    <row r="201" spans="1:12" ht="12" customHeight="1" x14ac:dyDescent="0.3">
      <c r="D201" s="122"/>
    </row>
    <row r="202" spans="1:12" ht="12" customHeight="1" x14ac:dyDescent="0.3">
      <c r="D202" s="122"/>
    </row>
    <row r="203" spans="1:12" ht="12" customHeight="1" x14ac:dyDescent="0.3">
      <c r="D203" s="122"/>
    </row>
    <row r="204" spans="1:12" ht="12" customHeight="1" x14ac:dyDescent="0.3">
      <c r="D204" s="89"/>
    </row>
    <row r="205" spans="1:12" ht="12" customHeight="1" x14ac:dyDescent="0.3">
      <c r="D205" s="86"/>
    </row>
    <row r="206" spans="1:12" ht="12" customHeight="1" x14ac:dyDescent="0.3">
      <c r="D206" s="86"/>
    </row>
    <row r="207" spans="1:12" ht="12" customHeight="1" x14ac:dyDescent="0.3">
      <c r="D207" s="132"/>
    </row>
    <row r="208" spans="1:12" ht="12" customHeight="1" x14ac:dyDescent="0.3">
      <c r="D208" s="132"/>
    </row>
    <row r="209" spans="4:4" ht="12" customHeight="1" x14ac:dyDescent="0.3">
      <c r="D209" s="122"/>
    </row>
    <row r="210" spans="4:4" ht="12" customHeight="1" x14ac:dyDescent="0.3">
      <c r="D210" s="122"/>
    </row>
    <row r="211" spans="4:4" ht="12" customHeight="1" x14ac:dyDescent="0.3">
      <c r="D211" s="122"/>
    </row>
    <row r="212" spans="4:4" ht="12" customHeight="1" x14ac:dyDescent="0.3">
      <c r="D212" s="122"/>
    </row>
    <row r="213" spans="4:4" ht="12" customHeight="1" x14ac:dyDescent="0.3">
      <c r="D213" s="122"/>
    </row>
    <row r="214" spans="4:4" ht="12" customHeight="1" x14ac:dyDescent="0.3">
      <c r="D214" s="122"/>
    </row>
    <row r="215" spans="4:4" ht="12" customHeight="1" x14ac:dyDescent="0.3">
      <c r="D215" s="122"/>
    </row>
    <row r="216" spans="4:4" ht="12" customHeight="1" x14ac:dyDescent="0.3">
      <c r="D216" s="122"/>
    </row>
    <row r="217" spans="4:4" ht="12" customHeight="1" x14ac:dyDescent="0.3">
      <c r="D217" s="122"/>
    </row>
    <row r="218" spans="4:4" ht="12" customHeight="1" x14ac:dyDescent="0.3">
      <c r="D218" s="122"/>
    </row>
    <row r="219" spans="4:4" ht="12" customHeight="1" x14ac:dyDescent="0.3">
      <c r="D219" s="122"/>
    </row>
    <row r="220" spans="4:4" ht="12" customHeight="1" x14ac:dyDescent="0.3">
      <c r="D220" s="89"/>
    </row>
    <row r="221" spans="4:4" ht="12" customHeight="1" x14ac:dyDescent="0.3">
      <c r="D221" s="86"/>
    </row>
    <row r="222" spans="4:4" ht="12" customHeight="1" x14ac:dyDescent="0.3">
      <c r="D222" s="86"/>
    </row>
    <row r="223" spans="4:4" ht="12" customHeight="1" x14ac:dyDescent="0.3">
      <c r="D223" s="122"/>
    </row>
    <row r="224" spans="4:4" ht="12" customHeight="1" x14ac:dyDescent="0.3">
      <c r="D224" s="122"/>
    </row>
    <row r="225" spans="4:4" ht="12" customHeight="1" x14ac:dyDescent="0.3">
      <c r="D225" s="122"/>
    </row>
    <row r="226" spans="4:4" ht="12" customHeight="1" x14ac:dyDescent="0.3">
      <c r="D226" s="122"/>
    </row>
    <row r="227" spans="4:4" ht="12" customHeight="1" x14ac:dyDescent="0.3">
      <c r="D227" s="122"/>
    </row>
    <row r="228" spans="4:4" ht="12" customHeight="1" x14ac:dyDescent="0.3">
      <c r="D228" s="122"/>
    </row>
    <row r="229" spans="4:4" ht="12" customHeight="1" x14ac:dyDescent="0.3">
      <c r="D229" s="122"/>
    </row>
    <row r="230" spans="4:4" ht="12" customHeight="1" x14ac:dyDescent="0.3">
      <c r="D230" s="122"/>
    </row>
    <row r="231" spans="4:4" ht="12" customHeight="1" x14ac:dyDescent="0.3">
      <c r="D231" s="122"/>
    </row>
    <row r="232" spans="4:4" ht="12" customHeight="1" x14ac:dyDescent="0.3">
      <c r="D232" s="122"/>
    </row>
    <row r="233" spans="4:4" ht="12" customHeight="1" x14ac:dyDescent="0.3">
      <c r="D233" s="122"/>
    </row>
    <row r="234" spans="4:4" ht="12" customHeight="1" x14ac:dyDescent="0.3">
      <c r="D234" s="122"/>
    </row>
    <row r="235" spans="4:4" ht="12" customHeight="1" x14ac:dyDescent="0.3">
      <c r="D235" s="122"/>
    </row>
    <row r="236" spans="4:4" ht="12" customHeight="1" x14ac:dyDescent="0.3">
      <c r="D236" s="139"/>
    </row>
    <row r="237" spans="4:4" ht="12" customHeight="1" x14ac:dyDescent="0.3"/>
    <row r="238" spans="4:4" ht="12" customHeight="1" x14ac:dyDescent="0.3">
      <c r="D238" s="84"/>
    </row>
    <row r="239" spans="4:4" ht="12" customHeight="1" x14ac:dyDescent="0.3">
      <c r="D239" s="131"/>
    </row>
    <row r="240" spans="4:4" ht="12" customHeight="1" x14ac:dyDescent="0.3">
      <c r="D240" s="131"/>
    </row>
    <row r="241" spans="4:4" ht="12" customHeight="1" x14ac:dyDescent="0.3">
      <c r="D241" s="131"/>
    </row>
    <row r="242" spans="4:4" ht="12" customHeight="1" x14ac:dyDescent="0.3">
      <c r="D242" s="131"/>
    </row>
    <row r="243" spans="4:4" ht="12" customHeight="1" x14ac:dyDescent="0.3"/>
    <row r="244" spans="4:4" ht="12" customHeight="1" x14ac:dyDescent="0.3">
      <c r="D244" s="84"/>
    </row>
    <row r="245" spans="4:4" ht="12" customHeight="1" x14ac:dyDescent="0.3">
      <c r="D245" s="131"/>
    </row>
    <row r="246" spans="4:4" ht="12" customHeight="1" x14ac:dyDescent="0.3">
      <c r="D246" s="131"/>
    </row>
    <row r="247" spans="4:4" ht="12" customHeight="1" x14ac:dyDescent="0.3">
      <c r="D247" s="131"/>
    </row>
    <row r="248" spans="4:4" ht="12" customHeight="1" x14ac:dyDescent="0.3">
      <c r="D248" s="131"/>
    </row>
    <row r="249" spans="4:4" ht="12" customHeight="1" x14ac:dyDescent="0.3">
      <c r="D249" s="159"/>
    </row>
    <row r="250" spans="4:4" ht="12" customHeight="1" x14ac:dyDescent="0.3"/>
    <row r="251" spans="4:4" ht="12" customHeight="1" x14ac:dyDescent="0.3">
      <c r="D251" s="70"/>
    </row>
    <row r="252" spans="4:4" ht="12" customHeight="1" x14ac:dyDescent="0.3">
      <c r="D252" s="131"/>
    </row>
    <row r="253" spans="4:4" ht="12" customHeight="1" x14ac:dyDescent="0.3">
      <c r="D253" s="131"/>
    </row>
    <row r="254" spans="4:4" ht="12" customHeight="1" x14ac:dyDescent="0.3">
      <c r="D254" s="131"/>
    </row>
    <row r="255" spans="4:4" ht="12" customHeight="1" x14ac:dyDescent="0.3">
      <c r="D255" s="131"/>
    </row>
    <row r="256" spans="4:4" ht="12" customHeight="1" x14ac:dyDescent="0.3"/>
    <row r="257" spans="4:4" ht="12" customHeight="1" x14ac:dyDescent="0.3">
      <c r="D257" s="70"/>
    </row>
    <row r="258" spans="4:4" ht="12" customHeight="1" x14ac:dyDescent="0.3">
      <c r="D258" s="131"/>
    </row>
    <row r="259" spans="4:4" ht="12" customHeight="1" x14ac:dyDescent="0.3">
      <c r="D259" s="131"/>
    </row>
    <row r="260" spans="4:4" ht="12" customHeight="1" x14ac:dyDescent="0.3">
      <c r="D260" s="131"/>
    </row>
    <row r="261" spans="4:4" ht="12" customHeight="1" x14ac:dyDescent="0.3">
      <c r="D261" s="131"/>
    </row>
    <row r="262" spans="4:4" ht="12" customHeight="1" x14ac:dyDescent="0.3"/>
    <row r="263" spans="4:4" ht="12" customHeight="1" x14ac:dyDescent="0.3"/>
    <row r="264" spans="4:4" ht="12" customHeight="1" x14ac:dyDescent="0.3"/>
    <row r="265" spans="4:4" ht="12" customHeight="1" x14ac:dyDescent="0.3"/>
    <row r="266" spans="4:4" ht="12" customHeight="1" x14ac:dyDescent="0.3">
      <c r="D266" s="139"/>
    </row>
    <row r="267" spans="4:4" ht="12" customHeight="1" x14ac:dyDescent="0.3">
      <c r="D267" s="80"/>
    </row>
    <row r="268" spans="4:4" ht="12" customHeight="1" x14ac:dyDescent="0.3">
      <c r="D268" s="93"/>
    </row>
    <row r="269" spans="4:4" ht="12" customHeight="1" x14ac:dyDescent="0.3">
      <c r="D269" s="92"/>
    </row>
    <row r="270" spans="4:4" ht="12" customHeight="1" x14ac:dyDescent="0.3">
      <c r="D270" s="92"/>
    </row>
    <row r="271" spans="4:4" x14ac:dyDescent="0.3">
      <c r="D271" s="92"/>
    </row>
    <row r="272" spans="4:4" x14ac:dyDescent="0.3">
      <c r="D272" s="92"/>
    </row>
    <row r="273" spans="4:4" x14ac:dyDescent="0.3">
      <c r="D273" s="92"/>
    </row>
    <row r="274" spans="4:4" x14ac:dyDescent="0.3">
      <c r="D274" s="93"/>
    </row>
    <row r="275" spans="4:4" x14ac:dyDescent="0.3">
      <c r="D275" s="93"/>
    </row>
    <row r="276" spans="4:4" x14ac:dyDescent="0.3">
      <c r="D276" s="93"/>
    </row>
    <row r="277" spans="4:4" x14ac:dyDescent="0.3">
      <c r="D277" s="93"/>
    </row>
    <row r="278" spans="4:4" x14ac:dyDescent="0.3">
      <c r="D278" s="93"/>
    </row>
    <row r="279" spans="4:4" x14ac:dyDescent="0.3">
      <c r="D279" s="160"/>
    </row>
    <row r="280" spans="4:4" x14ac:dyDescent="0.3">
      <c r="D280" s="96"/>
    </row>
    <row r="281" spans="4:4" x14ac:dyDescent="0.3">
      <c r="D281" s="95"/>
    </row>
    <row r="282" spans="4:4" x14ac:dyDescent="0.3">
      <c r="D282" s="95"/>
    </row>
    <row r="283" spans="4:4" x14ac:dyDescent="0.3">
      <c r="D283" s="95"/>
    </row>
    <row r="284" spans="4:4" x14ac:dyDescent="0.3">
      <c r="D284" s="95"/>
    </row>
    <row r="285" spans="4:4" x14ac:dyDescent="0.3">
      <c r="D285" s="95"/>
    </row>
    <row r="286" spans="4:4" x14ac:dyDescent="0.3">
      <c r="D286" s="73"/>
    </row>
    <row r="287" spans="4:4" x14ac:dyDescent="0.3">
      <c r="D287" s="96"/>
    </row>
    <row r="288" spans="4:4" x14ac:dyDescent="0.3">
      <c r="D288" s="96"/>
    </row>
    <row r="289" spans="4:4" x14ac:dyDescent="0.3">
      <c r="D289" s="96"/>
    </row>
    <row r="290" spans="4:4" x14ac:dyDescent="0.3">
      <c r="D290" s="96"/>
    </row>
    <row r="291" spans="4:4" x14ac:dyDescent="0.3">
      <c r="D291" s="96"/>
    </row>
    <row r="292" spans="4:4" x14ac:dyDescent="0.3">
      <c r="D292" s="72"/>
    </row>
    <row r="293" spans="4:4" x14ac:dyDescent="0.3">
      <c r="D293" s="72"/>
    </row>
    <row r="294" spans="4:4" x14ac:dyDescent="0.3">
      <c r="D294" s="75"/>
    </row>
    <row r="295" spans="4:4" x14ac:dyDescent="0.3">
      <c r="D295" s="75"/>
    </row>
    <row r="296" spans="4:4" x14ac:dyDescent="0.3">
      <c r="D296" s="72"/>
    </row>
  </sheetData>
  <mergeCells count="3">
    <mergeCell ref="A7:C7"/>
    <mergeCell ref="E7:G7"/>
    <mergeCell ref="I7:K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8729-970A-4C02-8876-BCF49AE30A73}">
  <sheetPr>
    <tabColor theme="9"/>
  </sheetPr>
  <dimension ref="A1:O205"/>
  <sheetViews>
    <sheetView topLeftCell="A104" zoomScale="133" zoomScaleNormal="70" workbookViewId="0">
      <selection activeCell="C183" sqref="C183:C187"/>
    </sheetView>
  </sheetViews>
  <sheetFormatPr defaultColWidth="8.7265625" defaultRowHeight="12" x14ac:dyDescent="0.3"/>
  <cols>
    <col min="1" max="1" width="36.453125" style="3" customWidth="1"/>
    <col min="2" max="2" width="10.26953125" style="3" customWidth="1"/>
    <col min="3" max="3" width="15.453125" style="27" customWidth="1"/>
    <col min="4" max="4" width="21.7265625" style="3" customWidth="1"/>
    <col min="5" max="5" width="33.08984375" style="16" customWidth="1"/>
    <col min="6" max="6" width="34.81640625" style="16" customWidth="1"/>
    <col min="7" max="7" width="29.453125" style="3" customWidth="1"/>
    <col min="8" max="16384" width="8.7265625" style="3"/>
  </cols>
  <sheetData>
    <row r="1" spans="1:15" ht="23.5" x14ac:dyDescent="0.55000000000000004">
      <c r="A1" s="8" t="s">
        <v>114</v>
      </c>
    </row>
    <row r="3" spans="1:15" x14ac:dyDescent="0.3">
      <c r="A3" s="46" t="s">
        <v>0</v>
      </c>
      <c r="B3" s="47"/>
      <c r="C3" s="48"/>
      <c r="D3" s="47"/>
      <c r="E3" s="49"/>
      <c r="F3" s="49"/>
      <c r="L3" s="2"/>
    </row>
    <row r="4" spans="1:15" ht="55.5" customHeight="1" x14ac:dyDescent="0.3">
      <c r="A4" s="250" t="s">
        <v>285</v>
      </c>
      <c r="B4" s="250"/>
      <c r="C4" s="251"/>
      <c r="D4" s="250"/>
      <c r="L4" s="2"/>
    </row>
    <row r="5" spans="1:15" ht="24" x14ac:dyDescent="0.3">
      <c r="A5" s="9" t="s">
        <v>1</v>
      </c>
      <c r="B5" s="4" t="s">
        <v>2</v>
      </c>
      <c r="C5" s="31" t="s">
        <v>115</v>
      </c>
      <c r="D5" s="4" t="s">
        <v>3</v>
      </c>
      <c r="E5" s="4" t="s">
        <v>116</v>
      </c>
      <c r="F5" s="17" t="s">
        <v>123</v>
      </c>
    </row>
    <row r="6" spans="1:15" x14ac:dyDescent="0.3">
      <c r="A6" s="7" t="s">
        <v>13</v>
      </c>
      <c r="B6" s="5"/>
      <c r="C6" s="28"/>
      <c r="D6" s="5"/>
      <c r="E6" s="5"/>
      <c r="F6" s="18"/>
    </row>
    <row r="7" spans="1:15" x14ac:dyDescent="0.3">
      <c r="A7" s="70" t="s">
        <v>352</v>
      </c>
      <c r="B7" s="74" t="s">
        <v>129</v>
      </c>
      <c r="C7" s="101">
        <v>130000</v>
      </c>
      <c r="D7" s="74" t="s">
        <v>252</v>
      </c>
      <c r="E7" s="73"/>
      <c r="F7" s="73"/>
    </row>
    <row r="8" spans="1:15" ht="24" x14ac:dyDescent="0.3">
      <c r="A8" s="70" t="s">
        <v>361</v>
      </c>
      <c r="B8" s="74" t="s">
        <v>362</v>
      </c>
      <c r="C8" s="105">
        <v>3</v>
      </c>
      <c r="D8" s="74" t="s">
        <v>190</v>
      </c>
      <c r="E8" s="73"/>
      <c r="F8" s="73"/>
    </row>
    <row r="9" spans="1:15" x14ac:dyDescent="0.3">
      <c r="A9" s="70" t="s">
        <v>250</v>
      </c>
      <c r="B9" s="74" t="s">
        <v>118</v>
      </c>
      <c r="C9" s="102">
        <v>7.4999999999999997E-2</v>
      </c>
      <c r="D9" s="80" t="s">
        <v>258</v>
      </c>
      <c r="E9" s="74"/>
      <c r="F9" s="80"/>
      <c r="K9" s="2"/>
      <c r="O9" s="34"/>
    </row>
    <row r="10" spans="1:15" x14ac:dyDescent="0.3">
      <c r="A10" s="70" t="s">
        <v>251</v>
      </c>
      <c r="B10" s="74" t="s">
        <v>14</v>
      </c>
      <c r="C10" s="103">
        <v>9.5000000000000001E-2</v>
      </c>
      <c r="D10" s="80"/>
      <c r="E10" s="74"/>
      <c r="F10" s="80" t="s">
        <v>259</v>
      </c>
      <c r="K10" s="2"/>
      <c r="O10" s="34"/>
    </row>
    <row r="11" spans="1:15" x14ac:dyDescent="0.3">
      <c r="A11" s="70" t="s">
        <v>393</v>
      </c>
      <c r="B11" s="74" t="s">
        <v>118</v>
      </c>
      <c r="C11" s="104">
        <v>0.2</v>
      </c>
      <c r="D11" s="74" t="s">
        <v>9</v>
      </c>
      <c r="E11" s="73" t="s">
        <v>15</v>
      </c>
      <c r="F11" s="73" t="s">
        <v>15</v>
      </c>
    </row>
    <row r="12" spans="1:15" ht="24" x14ac:dyDescent="0.3">
      <c r="A12" s="70" t="s">
        <v>16</v>
      </c>
      <c r="B12" s="74" t="s">
        <v>11</v>
      </c>
      <c r="C12" s="105">
        <v>15</v>
      </c>
      <c r="D12" s="74" t="s">
        <v>9</v>
      </c>
      <c r="E12" s="73" t="s">
        <v>17</v>
      </c>
      <c r="F12" s="73" t="s">
        <v>260</v>
      </c>
    </row>
    <row r="13" spans="1:15" x14ac:dyDescent="0.3">
      <c r="A13" s="70" t="s">
        <v>325</v>
      </c>
      <c r="B13" s="74" t="s">
        <v>326</v>
      </c>
      <c r="C13" s="106">
        <v>0.125</v>
      </c>
      <c r="D13" s="74"/>
      <c r="E13" s="73"/>
      <c r="F13" s="73"/>
    </row>
    <row r="14" spans="1:15" x14ac:dyDescent="0.3">
      <c r="A14" s="70" t="s">
        <v>327</v>
      </c>
      <c r="B14" s="74" t="s">
        <v>326</v>
      </c>
      <c r="C14" s="107">
        <v>0.3</v>
      </c>
      <c r="D14" s="74"/>
      <c r="E14" s="73"/>
      <c r="F14" s="73"/>
    </row>
    <row r="15" spans="1:15" x14ac:dyDescent="0.3">
      <c r="A15" s="70" t="s">
        <v>330</v>
      </c>
      <c r="B15" s="74" t="s">
        <v>331</v>
      </c>
      <c r="C15" s="105">
        <v>5</v>
      </c>
      <c r="D15" s="74"/>
      <c r="E15" s="73"/>
      <c r="F15" s="73"/>
    </row>
    <row r="16" spans="1:15" x14ac:dyDescent="0.3">
      <c r="A16" s="70" t="s">
        <v>332</v>
      </c>
      <c r="B16" s="74" t="s">
        <v>14</v>
      </c>
      <c r="C16" s="81">
        <f>C7*(1-C14)</f>
        <v>91000</v>
      </c>
      <c r="D16" s="100"/>
      <c r="E16" s="73"/>
      <c r="F16" s="73"/>
    </row>
    <row r="17" spans="1:8" x14ac:dyDescent="0.3">
      <c r="A17" s="70" t="s">
        <v>329</v>
      </c>
      <c r="B17" s="74" t="s">
        <v>14</v>
      </c>
      <c r="C17" s="108">
        <f>C7*C14</f>
        <v>39000</v>
      </c>
      <c r="D17" s="99"/>
      <c r="E17" s="73"/>
      <c r="F17" s="73"/>
    </row>
    <row r="18" spans="1:8" x14ac:dyDescent="0.3">
      <c r="A18" s="70" t="s">
        <v>328</v>
      </c>
      <c r="B18" s="74" t="s">
        <v>14</v>
      </c>
      <c r="C18" s="81">
        <f>C7*(1-C14)*C13</f>
        <v>11375</v>
      </c>
      <c r="D18" s="99"/>
      <c r="E18" s="73"/>
      <c r="F18" s="73"/>
    </row>
    <row r="19" spans="1:8" x14ac:dyDescent="0.3">
      <c r="A19" s="2" t="s">
        <v>333</v>
      </c>
      <c r="B19" s="74" t="s">
        <v>14</v>
      </c>
      <c r="C19" s="117">
        <f>-PMT(C13,5,C16)</f>
        <v>25557.717552604539</v>
      </c>
      <c r="D19" s="99"/>
      <c r="E19" s="73"/>
      <c r="F19" s="73"/>
    </row>
    <row r="20" spans="1:8" x14ac:dyDescent="0.3">
      <c r="A20" s="35" t="s">
        <v>335</v>
      </c>
      <c r="B20" s="1" t="s">
        <v>14</v>
      </c>
      <c r="C20" s="118">
        <f>C19*SUM(C103:C107)+C17</f>
        <v>135883.85755469135</v>
      </c>
      <c r="D20" s="74"/>
      <c r="E20" s="73"/>
      <c r="F20" s="73"/>
    </row>
    <row r="21" spans="1:8" hidden="1" x14ac:dyDescent="0.3">
      <c r="A21" s="70" t="s">
        <v>269</v>
      </c>
      <c r="B21" s="74"/>
      <c r="C21" s="77">
        <v>0.06</v>
      </c>
      <c r="D21" s="74"/>
      <c r="E21" s="73"/>
      <c r="F21" s="73"/>
    </row>
    <row r="22" spans="1:8" hidden="1" x14ac:dyDescent="0.3">
      <c r="A22" s="70" t="s">
        <v>270</v>
      </c>
      <c r="B22" s="74"/>
      <c r="C22" s="77">
        <v>0.03</v>
      </c>
      <c r="D22" s="74"/>
      <c r="E22" s="73"/>
      <c r="F22" s="73"/>
    </row>
    <row r="23" spans="1:8" x14ac:dyDescent="0.3">
      <c r="A23" s="70" t="s">
        <v>432</v>
      </c>
      <c r="B23" s="74" t="s">
        <v>416</v>
      </c>
      <c r="C23" s="82">
        <v>9986</v>
      </c>
    </row>
    <row r="24" spans="1:8" x14ac:dyDescent="0.3">
      <c r="A24" s="84" t="s">
        <v>433</v>
      </c>
      <c r="B24" s="80" t="s">
        <v>415</v>
      </c>
      <c r="C24" s="242">
        <v>7</v>
      </c>
      <c r="D24" s="74"/>
      <c r="E24" s="73"/>
      <c r="F24" s="73"/>
    </row>
    <row r="25" spans="1:8" x14ac:dyDescent="0.3">
      <c r="A25" s="80" t="s">
        <v>446</v>
      </c>
      <c r="B25" s="80" t="s">
        <v>421</v>
      </c>
      <c r="C25" s="137">
        <v>0.17</v>
      </c>
      <c r="D25" s="80"/>
      <c r="E25" s="73"/>
      <c r="F25" s="73"/>
    </row>
    <row r="26" spans="1:8" x14ac:dyDescent="0.3">
      <c r="A26" s="70"/>
      <c r="B26" s="74"/>
      <c r="C26" s="77"/>
      <c r="D26" s="74"/>
      <c r="E26" s="73"/>
      <c r="F26" s="73"/>
    </row>
    <row r="27" spans="1:8" x14ac:dyDescent="0.3">
      <c r="A27" s="7" t="s">
        <v>4</v>
      </c>
      <c r="B27" s="5"/>
      <c r="C27" s="28"/>
      <c r="D27" s="5"/>
      <c r="E27" s="5"/>
      <c r="F27" s="18"/>
    </row>
    <row r="28" spans="1:8" ht="24" x14ac:dyDescent="0.35">
      <c r="A28" s="70" t="s">
        <v>82</v>
      </c>
      <c r="B28" s="74" t="s">
        <v>5</v>
      </c>
      <c r="C28" s="105">
        <v>171</v>
      </c>
      <c r="D28" s="74" t="s">
        <v>190</v>
      </c>
      <c r="E28" s="73"/>
      <c r="F28" s="76"/>
    </row>
    <row r="29" spans="1:8" ht="24" x14ac:dyDescent="0.3">
      <c r="A29" s="70" t="s">
        <v>128</v>
      </c>
      <c r="B29" s="74" t="s">
        <v>7</v>
      </c>
      <c r="C29" s="105">
        <v>148</v>
      </c>
      <c r="D29" s="74" t="s">
        <v>8</v>
      </c>
      <c r="E29" s="73" t="s">
        <v>189</v>
      </c>
      <c r="F29" s="73" t="s">
        <v>189</v>
      </c>
      <c r="H29" s="14"/>
    </row>
    <row r="30" spans="1:8" x14ac:dyDescent="0.3">
      <c r="A30" s="70" t="s">
        <v>353</v>
      </c>
      <c r="B30" s="74" t="s">
        <v>118</v>
      </c>
      <c r="C30" s="104">
        <v>0.1</v>
      </c>
      <c r="D30" s="74" t="s">
        <v>195</v>
      </c>
      <c r="E30" s="73"/>
      <c r="F30" s="73" t="s">
        <v>191</v>
      </c>
    </row>
    <row r="31" spans="1:8" ht="24" x14ac:dyDescent="0.3">
      <c r="A31" s="70" t="s">
        <v>261</v>
      </c>
      <c r="B31" s="74" t="s">
        <v>268</v>
      </c>
      <c r="C31" s="105">
        <v>2200</v>
      </c>
      <c r="D31" s="74" t="s">
        <v>266</v>
      </c>
      <c r="E31" s="73"/>
      <c r="F31" s="73" t="s">
        <v>288</v>
      </c>
    </row>
    <row r="32" spans="1:8" x14ac:dyDescent="0.3">
      <c r="A32" s="70" t="s">
        <v>10</v>
      </c>
      <c r="B32" s="74" t="s">
        <v>11</v>
      </c>
      <c r="C32" s="90">
        <f>C31/C48</f>
        <v>7.5342465753424657</v>
      </c>
      <c r="D32" s="74"/>
      <c r="E32" s="73"/>
      <c r="F32" s="73"/>
    </row>
    <row r="33" spans="1:7" x14ac:dyDescent="0.3">
      <c r="A33" s="70" t="s">
        <v>434</v>
      </c>
      <c r="B33" s="74" t="s">
        <v>435</v>
      </c>
      <c r="C33" s="244">
        <v>57</v>
      </c>
      <c r="D33" s="74"/>
      <c r="E33" s="73"/>
      <c r="F33" s="73"/>
    </row>
    <row r="34" spans="1:7" x14ac:dyDescent="0.3">
      <c r="A34" s="80" t="s">
        <v>447</v>
      </c>
      <c r="B34" s="80" t="s">
        <v>421</v>
      </c>
      <c r="C34" s="137">
        <v>0.19</v>
      </c>
      <c r="D34" s="74"/>
      <c r="E34" s="73"/>
      <c r="F34" s="73"/>
    </row>
    <row r="35" spans="1:7" x14ac:dyDescent="0.3">
      <c r="A35" s="80" t="s">
        <v>451</v>
      </c>
      <c r="B35" s="74" t="s">
        <v>450</v>
      </c>
      <c r="C35" s="245">
        <f>C28*0.8</f>
        <v>136.80000000000001</v>
      </c>
      <c r="D35" s="74"/>
      <c r="E35" s="73"/>
      <c r="F35" s="73"/>
    </row>
    <row r="36" spans="1:7" x14ac:dyDescent="0.3">
      <c r="A36" s="80" t="s">
        <v>481</v>
      </c>
      <c r="B36" s="74" t="s">
        <v>482</v>
      </c>
      <c r="C36" s="245">
        <v>2</v>
      </c>
      <c r="D36" s="74"/>
      <c r="E36" s="73"/>
      <c r="F36" s="73"/>
    </row>
    <row r="37" spans="1:7" x14ac:dyDescent="0.3">
      <c r="A37" s="10"/>
      <c r="B37" s="74"/>
      <c r="C37" s="72"/>
      <c r="D37" s="16"/>
    </row>
    <row r="38" spans="1:7" x14ac:dyDescent="0.3">
      <c r="A38" s="7" t="s">
        <v>355</v>
      </c>
      <c r="B38" s="5"/>
      <c r="C38" s="28"/>
      <c r="D38" s="5"/>
      <c r="E38" s="5"/>
      <c r="F38" s="18"/>
    </row>
    <row r="39" spans="1:7" x14ac:dyDescent="0.3">
      <c r="A39" s="70" t="s">
        <v>248</v>
      </c>
      <c r="B39" s="74" t="s">
        <v>19</v>
      </c>
      <c r="C39" s="105">
        <v>4200</v>
      </c>
      <c r="D39" s="73" t="s">
        <v>249</v>
      </c>
      <c r="E39" s="73"/>
      <c r="F39" s="73"/>
    </row>
    <row r="40" spans="1:7" ht="36" x14ac:dyDescent="0.3">
      <c r="A40" s="70" t="s">
        <v>214</v>
      </c>
      <c r="B40" s="74" t="s">
        <v>14</v>
      </c>
      <c r="C40" s="101">
        <f>'Diesel(5)LCE'!C27</f>
        <v>10000</v>
      </c>
      <c r="D40" s="74" t="s">
        <v>211</v>
      </c>
      <c r="E40" s="73"/>
      <c r="F40" s="73" t="s">
        <v>212</v>
      </c>
    </row>
    <row r="41" spans="1:7" x14ac:dyDescent="0.3">
      <c r="A41" s="70" t="s">
        <v>213</v>
      </c>
      <c r="B41" s="74" t="s">
        <v>118</v>
      </c>
      <c r="C41" s="104">
        <v>0.2</v>
      </c>
      <c r="D41" s="74"/>
      <c r="E41" s="73"/>
      <c r="F41" s="73"/>
    </row>
    <row r="42" spans="1:7" x14ac:dyDescent="0.3">
      <c r="A42" s="70" t="s">
        <v>215</v>
      </c>
      <c r="B42" s="74" t="s">
        <v>290</v>
      </c>
      <c r="C42" s="64">
        <f>C40*(1+C41)</f>
        <v>12000</v>
      </c>
      <c r="D42" s="74"/>
      <c r="E42" s="73"/>
      <c r="F42" s="73"/>
    </row>
    <row r="43" spans="1:7" x14ac:dyDescent="0.3">
      <c r="A43" s="70" t="s">
        <v>334</v>
      </c>
      <c r="B43" s="74" t="s">
        <v>19</v>
      </c>
      <c r="C43" s="110">
        <f>C205*C49</f>
        <v>41469.839999999997</v>
      </c>
      <c r="D43" s="74"/>
      <c r="E43" s="73"/>
      <c r="F43" s="73"/>
    </row>
    <row r="44" spans="1:7" x14ac:dyDescent="0.3">
      <c r="A44" s="70"/>
      <c r="B44" s="74"/>
      <c r="C44" s="110"/>
      <c r="D44" s="74"/>
      <c r="E44" s="73"/>
      <c r="F44" s="73"/>
    </row>
    <row r="45" spans="1:7" x14ac:dyDescent="0.3">
      <c r="A45" s="7" t="s">
        <v>356</v>
      </c>
      <c r="B45" s="5"/>
      <c r="C45" s="28"/>
      <c r="D45" s="5"/>
      <c r="E45" s="5"/>
      <c r="F45" s="18"/>
    </row>
    <row r="46" spans="1:7" ht="24" x14ac:dyDescent="0.3">
      <c r="A46" s="70" t="s">
        <v>318</v>
      </c>
      <c r="B46" s="74" t="s">
        <v>23</v>
      </c>
      <c r="C46" s="111">
        <v>240</v>
      </c>
      <c r="D46" s="74"/>
      <c r="E46" s="73" t="s">
        <v>24</v>
      </c>
      <c r="F46" s="73" t="s">
        <v>257</v>
      </c>
      <c r="G46" s="98">
        <v>100000</v>
      </c>
    </row>
    <row r="47" spans="1:7" ht="24" x14ac:dyDescent="0.3">
      <c r="A47" s="70" t="s">
        <v>319</v>
      </c>
      <c r="B47" s="74" t="s">
        <v>23</v>
      </c>
      <c r="C47" s="101">
        <f>C46/7*3</f>
        <v>102.85714285714286</v>
      </c>
      <c r="D47" s="74" t="s">
        <v>192</v>
      </c>
      <c r="E47" s="73"/>
      <c r="F47" s="73" t="s">
        <v>155</v>
      </c>
      <c r="G47" s="34">
        <f>G46/292</f>
        <v>342.46575342465752</v>
      </c>
    </row>
    <row r="48" spans="1:7" ht="24" x14ac:dyDescent="0.3">
      <c r="A48" s="70" t="s">
        <v>25</v>
      </c>
      <c r="B48" s="74" t="s">
        <v>26</v>
      </c>
      <c r="C48" s="105">
        <v>292</v>
      </c>
      <c r="D48" s="74" t="s">
        <v>9</v>
      </c>
      <c r="E48" s="73" t="s">
        <v>27</v>
      </c>
      <c r="F48" s="73" t="s">
        <v>27</v>
      </c>
      <c r="G48" s="34">
        <f>G47*0.7</f>
        <v>239.72602739726025</v>
      </c>
    </row>
    <row r="49" spans="1:10" x14ac:dyDescent="0.3">
      <c r="A49" s="70" t="s">
        <v>317</v>
      </c>
      <c r="B49" s="74" t="s">
        <v>118</v>
      </c>
      <c r="C49" s="105">
        <v>1</v>
      </c>
      <c r="D49" s="74"/>
      <c r="E49" s="73"/>
      <c r="F49" s="73"/>
      <c r="G49" s="34">
        <f>G47*0.3</f>
        <v>102.73972602739725</v>
      </c>
    </row>
    <row r="50" spans="1:10" x14ac:dyDescent="0.3">
      <c r="A50" s="70" t="s">
        <v>28</v>
      </c>
      <c r="B50" s="74" t="s">
        <v>29</v>
      </c>
      <c r="C50" s="72">
        <f>MAX(1,(ROUNDUP(((C46+C47)*C49)/(C28*C8/C54),0)))</f>
        <v>1</v>
      </c>
      <c r="D50" s="74" t="s">
        <v>9</v>
      </c>
      <c r="E50" s="73"/>
      <c r="F50" s="73"/>
    </row>
    <row r="51" spans="1:10" ht="14.5" x14ac:dyDescent="0.35">
      <c r="A51" s="70" t="s">
        <v>354</v>
      </c>
      <c r="B51" s="74" t="s">
        <v>118</v>
      </c>
      <c r="C51" s="109">
        <v>5.0000000000000001E-3</v>
      </c>
      <c r="D51" s="74"/>
      <c r="E51" s="73"/>
      <c r="F51" s="76"/>
    </row>
    <row r="52" spans="1:10" ht="24" x14ac:dyDescent="0.3">
      <c r="A52" s="70" t="s">
        <v>207</v>
      </c>
      <c r="B52" s="74" t="s">
        <v>118</v>
      </c>
      <c r="C52" s="107">
        <v>0.25</v>
      </c>
      <c r="D52" s="74" t="s">
        <v>265</v>
      </c>
      <c r="E52" s="73"/>
      <c r="F52" s="73" t="s">
        <v>239</v>
      </c>
    </row>
    <row r="53" spans="1:10" ht="24" x14ac:dyDescent="0.3">
      <c r="A53" s="70" t="s">
        <v>408</v>
      </c>
      <c r="B53" s="74" t="s">
        <v>118</v>
      </c>
      <c r="C53" s="104">
        <v>0.5</v>
      </c>
      <c r="D53" s="74" t="s">
        <v>9</v>
      </c>
      <c r="E53" s="73" t="s">
        <v>46</v>
      </c>
      <c r="F53" s="83"/>
    </row>
    <row r="54" spans="1:10" x14ac:dyDescent="0.3">
      <c r="A54" s="70" t="s">
        <v>156</v>
      </c>
      <c r="B54" s="74" t="s">
        <v>145</v>
      </c>
      <c r="C54" s="105">
        <v>1.37</v>
      </c>
      <c r="D54" s="74"/>
      <c r="E54" s="73"/>
      <c r="F54" s="73"/>
      <c r="J54" s="36"/>
    </row>
    <row r="55" spans="1:10" ht="15.5" customHeight="1" x14ac:dyDescent="0.3">
      <c r="A55" s="70" t="s">
        <v>223</v>
      </c>
      <c r="B55" s="74" t="s">
        <v>145</v>
      </c>
      <c r="C55" s="90">
        <f>C54*(1+C51)</f>
        <v>1.3768499999999999</v>
      </c>
      <c r="D55" s="74"/>
      <c r="E55" s="73"/>
      <c r="F55" s="73"/>
    </row>
    <row r="56" spans="1:10" x14ac:dyDescent="0.3">
      <c r="A56" s="70" t="s">
        <v>224</v>
      </c>
      <c r="B56" s="74" t="s">
        <v>145</v>
      </c>
      <c r="C56" s="90">
        <f>C55*(1+C51)</f>
        <v>1.3837342499999998</v>
      </c>
      <c r="D56" s="74"/>
      <c r="E56" s="73"/>
      <c r="F56" s="73"/>
    </row>
    <row r="57" spans="1:10" x14ac:dyDescent="0.3">
      <c r="A57" s="70" t="s">
        <v>225</v>
      </c>
      <c r="B57" s="74" t="s">
        <v>145</v>
      </c>
      <c r="C57" s="90">
        <f>C56*(1+C51)</f>
        <v>1.3906529212499996</v>
      </c>
      <c r="D57" s="74"/>
      <c r="E57" s="73"/>
      <c r="F57" s="73"/>
    </row>
    <row r="58" spans="1:10" x14ac:dyDescent="0.3">
      <c r="A58" s="70" t="s">
        <v>226</v>
      </c>
      <c r="B58" s="74" t="s">
        <v>145</v>
      </c>
      <c r="C58" s="90">
        <f>C57*(1+C51)</f>
        <v>1.3976061858562494</v>
      </c>
      <c r="D58" s="74"/>
      <c r="E58" s="73"/>
      <c r="F58" s="73"/>
    </row>
    <row r="59" spans="1:10" x14ac:dyDescent="0.3">
      <c r="A59" s="70" t="s">
        <v>157</v>
      </c>
      <c r="B59" s="74" t="s">
        <v>30</v>
      </c>
      <c r="C59" s="78">
        <f>C54*(1-C52)</f>
        <v>1.0275000000000001</v>
      </c>
      <c r="D59" s="74"/>
      <c r="E59" s="73"/>
      <c r="F59" s="73"/>
    </row>
    <row r="60" spans="1:10" x14ac:dyDescent="0.3">
      <c r="A60" s="70" t="s">
        <v>227</v>
      </c>
      <c r="B60" s="74" t="s">
        <v>30</v>
      </c>
      <c r="C60" s="78">
        <f>C55*(1-C52)</f>
        <v>1.0326374999999999</v>
      </c>
      <c r="D60" s="74"/>
      <c r="E60" s="73"/>
      <c r="F60" s="73"/>
    </row>
    <row r="61" spans="1:10" x14ac:dyDescent="0.3">
      <c r="A61" s="70" t="s">
        <v>228</v>
      </c>
      <c r="B61" s="74" t="s">
        <v>30</v>
      </c>
      <c r="C61" s="78">
        <f>C56*(1-C52)</f>
        <v>1.0378006874999999</v>
      </c>
      <c r="D61" s="74"/>
      <c r="E61" s="73"/>
      <c r="F61" s="73"/>
    </row>
    <row r="62" spans="1:10" x14ac:dyDescent="0.3">
      <c r="A62" s="70" t="s">
        <v>229</v>
      </c>
      <c r="B62" s="74" t="s">
        <v>30</v>
      </c>
      <c r="C62" s="78">
        <f>C57*(1-C52)</f>
        <v>1.0429896909374996</v>
      </c>
      <c r="D62" s="74"/>
      <c r="E62" s="73"/>
      <c r="F62" s="73"/>
    </row>
    <row r="63" spans="1:10" x14ac:dyDescent="0.3">
      <c r="A63" s="70" t="s">
        <v>230</v>
      </c>
      <c r="B63" s="74" t="s">
        <v>30</v>
      </c>
      <c r="C63" s="78">
        <f>C58*(1-C52)</f>
        <v>1.0482046393921871</v>
      </c>
      <c r="D63" s="74"/>
      <c r="E63" s="73"/>
      <c r="F63" s="73"/>
    </row>
    <row r="64" spans="1:10" ht="10.5" customHeight="1" x14ac:dyDescent="0.3">
      <c r="A64" s="70" t="s">
        <v>124</v>
      </c>
      <c r="B64" s="74" t="s">
        <v>5</v>
      </c>
      <c r="C64" s="78">
        <f>(C$46*C$49*C54+C$47*C$49*C59)</f>
        <v>434.48571428571432</v>
      </c>
      <c r="D64" s="74"/>
      <c r="E64" s="73"/>
      <c r="F64" s="73"/>
    </row>
    <row r="65" spans="1:6" ht="10.5" customHeight="1" x14ac:dyDescent="0.3">
      <c r="A65" s="70" t="s">
        <v>231</v>
      </c>
      <c r="B65" s="74" t="s">
        <v>5</v>
      </c>
      <c r="C65" s="78">
        <f t="shared" ref="C65:C68" si="0">(C$46*C$49*C55+C$47*C$49*C60)</f>
        <v>436.65814285714282</v>
      </c>
      <c r="D65" s="74"/>
      <c r="E65" s="73"/>
      <c r="F65" s="73"/>
    </row>
    <row r="66" spans="1:6" ht="10.5" customHeight="1" x14ac:dyDescent="0.3">
      <c r="A66" s="70" t="s">
        <v>232</v>
      </c>
      <c r="B66" s="74" t="s">
        <v>5</v>
      </c>
      <c r="C66" s="78">
        <f t="shared" si="0"/>
        <v>438.84143357142852</v>
      </c>
      <c r="D66" s="74"/>
      <c r="E66" s="73"/>
      <c r="F66" s="73"/>
    </row>
    <row r="67" spans="1:6" ht="10.5" customHeight="1" x14ac:dyDescent="0.3">
      <c r="A67" s="70" t="s">
        <v>233</v>
      </c>
      <c r="B67" s="74" t="s">
        <v>5</v>
      </c>
      <c r="C67" s="78">
        <f t="shared" si="0"/>
        <v>441.03564073928561</v>
      </c>
      <c r="D67" s="74"/>
      <c r="E67" s="73"/>
      <c r="F67" s="73"/>
    </row>
    <row r="68" spans="1:6" ht="10.5" customHeight="1" x14ac:dyDescent="0.3">
      <c r="A68" s="70" t="s">
        <v>234</v>
      </c>
      <c r="B68" s="74" t="s">
        <v>5</v>
      </c>
      <c r="C68" s="78">
        <f t="shared" si="0"/>
        <v>443.24081894298195</v>
      </c>
      <c r="D68" s="74"/>
      <c r="E68" s="73"/>
      <c r="F68" s="73"/>
    </row>
    <row r="69" spans="1:6" x14ac:dyDescent="0.3">
      <c r="A69" s="70" t="s">
        <v>444</v>
      </c>
      <c r="B69" s="74" t="s">
        <v>445</v>
      </c>
      <c r="C69" s="188">
        <v>0.19600000000000001</v>
      </c>
      <c r="D69" s="74"/>
      <c r="E69" s="73"/>
      <c r="F69" s="73"/>
    </row>
    <row r="70" spans="1:6" x14ac:dyDescent="0.3">
      <c r="A70" s="80"/>
      <c r="B70" s="80"/>
      <c r="C70" s="82"/>
      <c r="D70" s="80"/>
      <c r="E70" s="73"/>
      <c r="F70" s="73"/>
    </row>
    <row r="71" spans="1:6" x14ac:dyDescent="0.3">
      <c r="A71" s="7" t="s">
        <v>32</v>
      </c>
      <c r="B71" s="5"/>
      <c r="C71" s="28"/>
      <c r="D71" s="5"/>
      <c r="E71" s="5"/>
      <c r="F71" s="18"/>
    </row>
    <row r="72" spans="1:6" x14ac:dyDescent="0.3">
      <c r="A72" s="70" t="s">
        <v>322</v>
      </c>
      <c r="B72" s="74" t="s">
        <v>14</v>
      </c>
      <c r="C72" s="112">
        <f>C28*C29*(C76+C80*C8)</f>
        <v>4502293.1999999993</v>
      </c>
      <c r="D72" s="74"/>
      <c r="E72" s="73"/>
      <c r="F72" s="73"/>
    </row>
    <row r="73" spans="1:6" ht="24" x14ac:dyDescent="0.3">
      <c r="A73" s="70" t="s">
        <v>33</v>
      </c>
      <c r="B73" s="74" t="s">
        <v>14</v>
      </c>
      <c r="C73" s="113">
        <v>2000000</v>
      </c>
      <c r="D73" s="74" t="s">
        <v>8</v>
      </c>
      <c r="E73" s="73" t="s">
        <v>93</v>
      </c>
      <c r="F73" s="73" t="s">
        <v>93</v>
      </c>
    </row>
    <row r="74" spans="1:6" x14ac:dyDescent="0.3">
      <c r="A74" s="70" t="s">
        <v>34</v>
      </c>
      <c r="B74" s="74" t="s">
        <v>14</v>
      </c>
      <c r="C74" s="105">
        <v>1000000</v>
      </c>
      <c r="D74" s="74" t="s">
        <v>9</v>
      </c>
      <c r="E74" s="73" t="s">
        <v>35</v>
      </c>
      <c r="F74" s="73"/>
    </row>
    <row r="75" spans="1:6" x14ac:dyDescent="0.3">
      <c r="A75" s="70"/>
      <c r="B75" s="71"/>
      <c r="C75" s="110"/>
      <c r="D75" s="71"/>
      <c r="E75" s="71"/>
      <c r="F75" s="73"/>
    </row>
    <row r="76" spans="1:6" x14ac:dyDescent="0.3">
      <c r="A76" s="70" t="s">
        <v>357</v>
      </c>
      <c r="B76" s="74" t="s">
        <v>358</v>
      </c>
      <c r="C76" s="105">
        <v>24</v>
      </c>
      <c r="D76" s="74" t="s">
        <v>194</v>
      </c>
      <c r="E76" s="73"/>
      <c r="F76" s="73"/>
    </row>
    <row r="77" spans="1:6" x14ac:dyDescent="0.3">
      <c r="A77" s="70" t="s">
        <v>36</v>
      </c>
      <c r="B77" s="74" t="s">
        <v>11</v>
      </c>
      <c r="C77" s="105">
        <v>15</v>
      </c>
      <c r="D77" s="74" t="s">
        <v>12</v>
      </c>
      <c r="E77" s="73"/>
      <c r="F77" s="73"/>
    </row>
    <row r="78" spans="1:6" ht="24" x14ac:dyDescent="0.3">
      <c r="A78" s="70" t="s">
        <v>37</v>
      </c>
      <c r="B78" s="74" t="s">
        <v>38</v>
      </c>
      <c r="C78" s="105">
        <v>171</v>
      </c>
      <c r="D78" s="74" t="s">
        <v>6</v>
      </c>
      <c r="E78" s="73" t="s">
        <v>39</v>
      </c>
      <c r="F78" s="73"/>
    </row>
    <row r="79" spans="1:6" x14ac:dyDescent="0.3">
      <c r="A79" s="97" t="s">
        <v>40</v>
      </c>
      <c r="B79" s="91" t="s">
        <v>118</v>
      </c>
      <c r="C79" s="114">
        <v>0.3</v>
      </c>
      <c r="D79" s="74" t="s">
        <v>9</v>
      </c>
      <c r="E79" s="73" t="s">
        <v>41</v>
      </c>
      <c r="F79" s="73"/>
    </row>
    <row r="80" spans="1:6" ht="36" x14ac:dyDescent="0.3">
      <c r="A80" s="70" t="s">
        <v>42</v>
      </c>
      <c r="B80" s="74" t="s">
        <v>38</v>
      </c>
      <c r="C80" s="81">
        <f>C78*C79</f>
        <v>51.3</v>
      </c>
      <c r="D80" s="74" t="s">
        <v>31</v>
      </c>
      <c r="E80" s="73" t="s">
        <v>43</v>
      </c>
      <c r="F80" s="73"/>
    </row>
    <row r="81" spans="1:7" x14ac:dyDescent="0.3">
      <c r="A81" s="7" t="s">
        <v>363</v>
      </c>
      <c r="B81" s="5"/>
      <c r="C81" s="28"/>
      <c r="D81" s="5"/>
      <c r="E81" s="5"/>
      <c r="F81" s="18"/>
    </row>
    <row r="82" spans="1:7" x14ac:dyDescent="0.3">
      <c r="A82" s="70" t="s">
        <v>289</v>
      </c>
      <c r="B82" s="74" t="s">
        <v>291</v>
      </c>
      <c r="C82" s="101">
        <v>216000</v>
      </c>
      <c r="D82" s="71"/>
      <c r="E82" s="71"/>
      <c r="F82" s="73"/>
    </row>
    <row r="83" spans="1:7" x14ac:dyDescent="0.3">
      <c r="A83" s="70" t="s">
        <v>299</v>
      </c>
      <c r="B83" s="74" t="s">
        <v>291</v>
      </c>
      <c r="C83" s="101">
        <v>48705</v>
      </c>
      <c r="D83" s="71"/>
      <c r="E83" s="71"/>
      <c r="F83" s="73"/>
    </row>
    <row r="84" spans="1:7" x14ac:dyDescent="0.3">
      <c r="A84" s="84" t="s">
        <v>338</v>
      </c>
      <c r="B84" s="80" t="s">
        <v>14</v>
      </c>
      <c r="C84" s="120">
        <f>(C82+C83)/C80</f>
        <v>5159.9415204678362</v>
      </c>
      <c r="D84" s="80"/>
      <c r="E84" s="83"/>
      <c r="F84" s="83"/>
    </row>
    <row r="85" spans="1:7" x14ac:dyDescent="0.3">
      <c r="A85" s="84" t="s">
        <v>339</v>
      </c>
      <c r="B85" s="80" t="s">
        <v>14</v>
      </c>
      <c r="C85" s="120">
        <f xml:space="preserve"> ((C73 + C74) / C77) / C80</f>
        <v>3898.6354775828463</v>
      </c>
      <c r="D85" s="124">
        <f xml:space="preserve"> ((C73 + C74) *C108)/C80</f>
        <v>7688.5249641738128</v>
      </c>
      <c r="E85" s="83"/>
      <c r="F85" s="83"/>
    </row>
    <row r="86" spans="1:7" x14ac:dyDescent="0.3">
      <c r="A86" s="84" t="s">
        <v>340</v>
      </c>
      <c r="B86" s="80" t="s">
        <v>14</v>
      </c>
      <c r="C86" s="120">
        <f>(((C76*C28*C29)+(C80*C8*C28*C29))*(1-C30)*(C48*C49*C80*C8/(C31*(C76+C80*C8)))/C80)</f>
        <v>9069.4669090909083</v>
      </c>
      <c r="D86" s="80"/>
      <c r="E86" s="83"/>
      <c r="F86" s="83"/>
    </row>
    <row r="87" spans="1:7" x14ac:dyDescent="0.3">
      <c r="A87" s="35" t="s">
        <v>341</v>
      </c>
      <c r="B87" s="80" t="s">
        <v>14</v>
      </c>
      <c r="C87" s="120">
        <f>C86+C85+C84</f>
        <v>18128.043907141589</v>
      </c>
      <c r="D87" s="124">
        <f>C87*5+C90*5</f>
        <v>147583.21953570796</v>
      </c>
      <c r="E87" s="83"/>
      <c r="F87" s="83"/>
    </row>
    <row r="88" spans="1:7" x14ac:dyDescent="0.3">
      <c r="A88" s="84" t="s">
        <v>324</v>
      </c>
      <c r="B88" s="80" t="s">
        <v>14</v>
      </c>
      <c r="C88" s="121">
        <f>C87/12</f>
        <v>1510.6703255951325</v>
      </c>
      <c r="D88" s="80"/>
      <c r="E88" s="83"/>
      <c r="F88" s="83"/>
    </row>
    <row r="89" spans="1:7" x14ac:dyDescent="0.3">
      <c r="A89" s="70" t="s">
        <v>293</v>
      </c>
      <c r="B89" s="74" t="s">
        <v>292</v>
      </c>
      <c r="C89" s="107">
        <v>0.15</v>
      </c>
      <c r="D89" s="80"/>
      <c r="E89" s="83"/>
      <c r="F89" s="83"/>
    </row>
    <row r="90" spans="1:7" x14ac:dyDescent="0.3">
      <c r="A90" s="35" t="s">
        <v>342</v>
      </c>
      <c r="B90" s="80" t="s">
        <v>14</v>
      </c>
      <c r="C90" s="120">
        <f>C29*C8*C28*C89</f>
        <v>11388.6</v>
      </c>
      <c r="D90" s="80"/>
      <c r="E90" s="83"/>
      <c r="F90" s="83"/>
    </row>
    <row r="91" spans="1:7" x14ac:dyDescent="0.3">
      <c r="A91" s="84" t="s">
        <v>323</v>
      </c>
      <c r="B91" s="80" t="s">
        <v>14</v>
      </c>
      <c r="C91" s="121">
        <f>C90/12</f>
        <v>949.05000000000007</v>
      </c>
      <c r="D91" s="73"/>
      <c r="E91" s="73"/>
      <c r="F91" s="73"/>
    </row>
    <row r="92" spans="1:7" x14ac:dyDescent="0.3">
      <c r="A92" s="13" t="s">
        <v>92</v>
      </c>
      <c r="B92" s="74" t="s">
        <v>14</v>
      </c>
      <c r="C92" s="105">
        <v>3</v>
      </c>
      <c r="D92" s="74" t="s">
        <v>9</v>
      </c>
      <c r="E92" s="73"/>
      <c r="F92" s="73"/>
    </row>
    <row r="93" spans="1:7" x14ac:dyDescent="0.3">
      <c r="A93" s="2" t="s">
        <v>348</v>
      </c>
      <c r="B93" s="80" t="s">
        <v>14</v>
      </c>
      <c r="C93" s="122">
        <f>C92*C50*C48</f>
        <v>876</v>
      </c>
      <c r="D93" s="123"/>
      <c r="E93" s="73"/>
      <c r="F93" s="73"/>
    </row>
    <row r="94" spans="1:7" ht="96" x14ac:dyDescent="0.3">
      <c r="A94" s="70" t="s">
        <v>294</v>
      </c>
      <c r="B94" s="74" t="s">
        <v>7</v>
      </c>
      <c r="C94" s="115">
        <v>0.2</v>
      </c>
      <c r="D94" s="74" t="s">
        <v>9</v>
      </c>
      <c r="E94" s="73" t="s">
        <v>44</v>
      </c>
      <c r="F94" s="73" t="s">
        <v>204</v>
      </c>
      <c r="G94" s="16"/>
    </row>
    <row r="95" spans="1:7" ht="24.5" thickBot="1" x14ac:dyDescent="0.35">
      <c r="A95" s="70" t="s">
        <v>295</v>
      </c>
      <c r="B95" s="74" t="s">
        <v>7</v>
      </c>
      <c r="C95" s="115">
        <v>0.1</v>
      </c>
      <c r="D95" s="74" t="s">
        <v>9</v>
      </c>
      <c r="E95" s="73" t="s">
        <v>45</v>
      </c>
      <c r="F95" s="73"/>
    </row>
    <row r="96" spans="1:7" ht="24.5" thickBot="1" x14ac:dyDescent="0.35">
      <c r="A96" s="13" t="s">
        <v>47</v>
      </c>
      <c r="B96" s="74" t="s">
        <v>118</v>
      </c>
      <c r="C96" s="116">
        <v>1</v>
      </c>
      <c r="D96" s="74" t="s">
        <v>9</v>
      </c>
      <c r="E96" s="73" t="s">
        <v>48</v>
      </c>
      <c r="F96" s="73"/>
    </row>
    <row r="97" spans="1:12" x14ac:dyDescent="0.3">
      <c r="A97" s="70" t="s">
        <v>296</v>
      </c>
      <c r="B97" s="74" t="s">
        <v>7</v>
      </c>
      <c r="C97" s="119">
        <f>C94*(1+C96)</f>
        <v>0.4</v>
      </c>
      <c r="D97" s="74"/>
      <c r="E97" s="73"/>
      <c r="F97" s="73"/>
    </row>
    <row r="98" spans="1:12" x14ac:dyDescent="0.3">
      <c r="A98" s="70" t="s">
        <v>297</v>
      </c>
      <c r="B98" s="74" t="s">
        <v>7</v>
      </c>
      <c r="C98" s="119">
        <f>C95*(1+C96)</f>
        <v>0.2</v>
      </c>
      <c r="D98" s="74"/>
      <c r="E98" s="73"/>
      <c r="F98" s="73"/>
    </row>
    <row r="99" spans="1:12" x14ac:dyDescent="0.3">
      <c r="A99" s="70"/>
      <c r="B99" s="1"/>
      <c r="C99" s="75"/>
      <c r="D99" s="74"/>
      <c r="E99" s="73"/>
      <c r="F99" s="73"/>
    </row>
    <row r="100" spans="1:12" s="23" customFormat="1" x14ac:dyDescent="0.3">
      <c r="A100" s="22" t="s">
        <v>152</v>
      </c>
      <c r="C100" s="26"/>
      <c r="E100" s="24"/>
      <c r="F100" s="24"/>
      <c r="G100" s="3"/>
      <c r="H100" s="3"/>
      <c r="I100" s="3"/>
      <c r="J100" s="3"/>
      <c r="K100" s="3"/>
      <c r="L100" s="3"/>
    </row>
    <row r="101" spans="1:12" x14ac:dyDescent="0.3">
      <c r="A101" s="84" t="s">
        <v>151</v>
      </c>
      <c r="B101" s="80" t="s">
        <v>118</v>
      </c>
      <c r="C101" s="85">
        <v>0.1</v>
      </c>
      <c r="D101" s="80"/>
      <c r="E101" s="73"/>
      <c r="F101" s="73"/>
    </row>
    <row r="102" spans="1:12" x14ac:dyDescent="0.3">
      <c r="A102" s="84" t="s">
        <v>153</v>
      </c>
      <c r="B102" s="80"/>
      <c r="C102" s="82"/>
      <c r="D102" s="80"/>
      <c r="E102" s="73"/>
      <c r="F102" s="73"/>
    </row>
    <row r="103" spans="1:12" x14ac:dyDescent="0.3">
      <c r="A103" s="84" t="s">
        <v>146</v>
      </c>
      <c r="B103" s="80" t="s">
        <v>118</v>
      </c>
      <c r="C103" s="82">
        <f>1/(1+C101)^1</f>
        <v>0.90909090909090906</v>
      </c>
      <c r="D103" s="80"/>
      <c r="E103" s="73"/>
      <c r="F103" s="73"/>
    </row>
    <row r="104" spans="1:12" x14ac:dyDescent="0.3">
      <c r="A104" s="84" t="s">
        <v>147</v>
      </c>
      <c r="B104" s="80" t="s">
        <v>118</v>
      </c>
      <c r="C104" s="82">
        <f>1/(1+C101)^2</f>
        <v>0.82644628099173545</v>
      </c>
      <c r="D104" s="80"/>
      <c r="E104" s="73"/>
      <c r="F104" s="73"/>
    </row>
    <row r="105" spans="1:12" x14ac:dyDescent="0.3">
      <c r="A105" s="84" t="s">
        <v>148</v>
      </c>
      <c r="B105" s="80" t="s">
        <v>118</v>
      </c>
      <c r="C105" s="82">
        <f>1/(1+C101)^3</f>
        <v>0.75131480090157754</v>
      </c>
      <c r="D105" s="80"/>
      <c r="E105" s="73"/>
      <c r="F105" s="73"/>
    </row>
    <row r="106" spans="1:12" x14ac:dyDescent="0.3">
      <c r="A106" s="84" t="s">
        <v>149</v>
      </c>
      <c r="B106" s="80" t="s">
        <v>118</v>
      </c>
      <c r="C106" s="82">
        <f>1/(1+C101)^4</f>
        <v>0.68301345536507052</v>
      </c>
      <c r="D106" s="80"/>
      <c r="E106" s="73"/>
      <c r="F106" s="73"/>
    </row>
    <row r="107" spans="1:12" x14ac:dyDescent="0.3">
      <c r="A107" s="84" t="s">
        <v>150</v>
      </c>
      <c r="B107" s="80" t="s">
        <v>118</v>
      </c>
      <c r="C107" s="82">
        <f>1/(1+C101)^5</f>
        <v>0.62092132305915493</v>
      </c>
      <c r="D107" s="80"/>
      <c r="E107" s="73"/>
      <c r="F107" s="73"/>
    </row>
    <row r="108" spans="1:12" x14ac:dyDescent="0.3">
      <c r="A108" s="84" t="s">
        <v>487</v>
      </c>
      <c r="B108" s="80"/>
      <c r="C108" s="82">
        <f>C101*(1+C101)^C77/((1+C101)^C77-1)</f>
        <v>0.13147377688737219</v>
      </c>
      <c r="D108" s="80"/>
      <c r="E108" s="73"/>
      <c r="F108" s="73"/>
    </row>
    <row r="109" spans="1:12" x14ac:dyDescent="0.3">
      <c r="A109" s="22" t="s">
        <v>244</v>
      </c>
      <c r="B109" s="23"/>
      <c r="C109" s="26"/>
      <c r="D109" s="23"/>
      <c r="E109" s="24"/>
      <c r="F109" s="24"/>
      <c r="G109" s="2"/>
      <c r="H109" s="2"/>
      <c r="I109" s="2"/>
      <c r="J109" s="2"/>
      <c r="K109" s="2"/>
      <c r="L109" s="2"/>
    </row>
    <row r="110" spans="1:12" ht="24" x14ac:dyDescent="0.3">
      <c r="A110" s="84" t="s">
        <v>244</v>
      </c>
      <c r="B110" s="80" t="s">
        <v>14</v>
      </c>
      <c r="C110" s="89">
        <v>0</v>
      </c>
      <c r="D110" s="80" t="s">
        <v>245</v>
      </c>
      <c r="E110" s="73"/>
      <c r="F110" s="73" t="s">
        <v>246</v>
      </c>
    </row>
    <row r="111" spans="1:12" x14ac:dyDescent="0.3">
      <c r="A111" s="84"/>
      <c r="B111" s="80"/>
      <c r="C111" s="89"/>
      <c r="D111" s="80"/>
      <c r="E111" s="73"/>
      <c r="F111" s="73"/>
    </row>
    <row r="112" spans="1:12" x14ac:dyDescent="0.3">
      <c r="A112" s="46" t="s">
        <v>49</v>
      </c>
      <c r="B112" s="46"/>
      <c r="C112" s="54"/>
      <c r="D112" s="46"/>
      <c r="E112" s="55"/>
      <c r="F112" s="55"/>
      <c r="G112" s="2"/>
      <c r="H112" s="2"/>
      <c r="I112" s="2"/>
      <c r="J112" s="2"/>
      <c r="K112" s="2"/>
      <c r="L112" s="2"/>
    </row>
    <row r="113" spans="1:6" x14ac:dyDescent="0.3">
      <c r="A113" s="7" t="s">
        <v>455</v>
      </c>
      <c r="B113" s="5"/>
      <c r="C113" s="25"/>
      <c r="D113" s="5"/>
      <c r="E113" s="5"/>
      <c r="F113" s="18"/>
    </row>
    <row r="114" spans="1:6" x14ac:dyDescent="0.3">
      <c r="A114" s="84" t="s">
        <v>436</v>
      </c>
      <c r="B114" s="71" t="s">
        <v>430</v>
      </c>
      <c r="C114" s="78">
        <f>C23*C24</f>
        <v>69902</v>
      </c>
      <c r="D114" s="71"/>
      <c r="E114" s="71"/>
      <c r="F114" s="73"/>
    </row>
    <row r="115" spans="1:6" x14ac:dyDescent="0.3">
      <c r="A115" s="84" t="s">
        <v>438</v>
      </c>
      <c r="B115" s="71" t="s">
        <v>430</v>
      </c>
      <c r="C115" s="78">
        <f>C28*C8*C33*C36</f>
        <v>58482</v>
      </c>
      <c r="D115" s="71"/>
      <c r="E115" s="71"/>
      <c r="F115" s="73"/>
    </row>
    <row r="116" spans="1:6" x14ac:dyDescent="0.3">
      <c r="A116" s="84" t="s">
        <v>437</v>
      </c>
      <c r="B116" s="71" t="s">
        <v>430</v>
      </c>
      <c r="C116" s="78">
        <f>C115+C114</f>
        <v>128384</v>
      </c>
      <c r="D116" s="246"/>
      <c r="E116" s="71"/>
      <c r="F116" s="73"/>
    </row>
    <row r="117" spans="1:6" x14ac:dyDescent="0.3">
      <c r="A117" s="84" t="s">
        <v>439</v>
      </c>
      <c r="B117" s="71" t="s">
        <v>429</v>
      </c>
      <c r="C117" s="78">
        <f>C64*C$48*C$69</f>
        <v>24866.486400000005</v>
      </c>
      <c r="D117" s="71"/>
      <c r="E117" s="71"/>
      <c r="F117" s="73"/>
    </row>
    <row r="118" spans="1:6" x14ac:dyDescent="0.3">
      <c r="A118" s="84" t="s">
        <v>440</v>
      </c>
      <c r="B118" s="71" t="s">
        <v>429</v>
      </c>
      <c r="C118" s="78">
        <f t="shared" ref="C118:C121" si="1">C65*C$48*C$69</f>
        <v>24990.818831999997</v>
      </c>
      <c r="D118" s="71"/>
      <c r="E118" s="71"/>
      <c r="F118" s="73"/>
    </row>
    <row r="119" spans="1:6" x14ac:dyDescent="0.3">
      <c r="A119" s="84" t="s">
        <v>441</v>
      </c>
      <c r="B119" s="71" t="s">
        <v>429</v>
      </c>
      <c r="C119" s="78">
        <f t="shared" si="1"/>
        <v>25115.772926159996</v>
      </c>
      <c r="D119" s="71"/>
      <c r="E119" s="71"/>
      <c r="F119" s="73"/>
    </row>
    <row r="120" spans="1:6" x14ac:dyDescent="0.3">
      <c r="A120" s="84" t="s">
        <v>442</v>
      </c>
      <c r="B120" s="71" t="s">
        <v>429</v>
      </c>
      <c r="C120" s="78">
        <f t="shared" si="1"/>
        <v>25241.351790790795</v>
      </c>
      <c r="D120" s="71"/>
      <c r="E120" s="71"/>
      <c r="F120" s="73"/>
    </row>
    <row r="121" spans="1:6" x14ac:dyDescent="0.3">
      <c r="A121" s="84" t="s">
        <v>443</v>
      </c>
      <c r="B121" s="71" t="s">
        <v>429</v>
      </c>
      <c r="C121" s="78">
        <f t="shared" si="1"/>
        <v>25367.558549744743</v>
      </c>
      <c r="D121" s="71"/>
      <c r="E121" s="71"/>
      <c r="F121" s="73"/>
    </row>
    <row r="122" spans="1:6" x14ac:dyDescent="0.3">
      <c r="A122" s="70" t="s">
        <v>422</v>
      </c>
      <c r="B122" s="71" t="s">
        <v>429</v>
      </c>
      <c r="C122" s="78">
        <f>SUM(C117:C121)*C36</f>
        <v>251163.97699739109</v>
      </c>
      <c r="D122" s="246"/>
      <c r="E122" s="71"/>
      <c r="F122" s="73"/>
    </row>
    <row r="123" spans="1:6" x14ac:dyDescent="0.3">
      <c r="A123" s="70" t="s">
        <v>448</v>
      </c>
      <c r="B123" s="71" t="s">
        <v>429</v>
      </c>
      <c r="C123" s="78">
        <f>C114*C25</f>
        <v>11883.34</v>
      </c>
      <c r="D123" s="71"/>
      <c r="E123" s="71"/>
      <c r="F123" s="73"/>
    </row>
    <row r="124" spans="1:6" x14ac:dyDescent="0.3">
      <c r="A124" s="70" t="s">
        <v>449</v>
      </c>
      <c r="B124" s="71" t="s">
        <v>429</v>
      </c>
      <c r="C124" s="78">
        <f>C115*C34</f>
        <v>11111.58</v>
      </c>
      <c r="E124" s="71"/>
      <c r="F124" s="73"/>
    </row>
    <row r="125" spans="1:6" x14ac:dyDescent="0.3">
      <c r="A125" s="70" t="s">
        <v>486</v>
      </c>
      <c r="B125" s="71" t="s">
        <v>429</v>
      </c>
      <c r="C125" s="78">
        <f>SUM(C123:C124)</f>
        <v>22994.92</v>
      </c>
      <c r="D125" s="246"/>
      <c r="E125" s="71"/>
      <c r="F125" s="73"/>
    </row>
    <row r="126" spans="1:6" x14ac:dyDescent="0.3">
      <c r="A126" s="70" t="s">
        <v>456</v>
      </c>
      <c r="B126" s="71" t="s">
        <v>429</v>
      </c>
      <c r="C126" s="78">
        <f>C116+C122-C125</f>
        <v>356553.0569973911</v>
      </c>
      <c r="D126" s="71"/>
      <c r="E126" s="71"/>
      <c r="F126" s="73"/>
    </row>
    <row r="127" spans="1:6" x14ac:dyDescent="0.3">
      <c r="A127" s="70" t="s">
        <v>457</v>
      </c>
      <c r="B127" s="71" t="s">
        <v>431</v>
      </c>
      <c r="C127" s="248">
        <f>C126/((C46+C47)*C48*C133*C49*C36)</f>
        <v>0.3561460329597228</v>
      </c>
      <c r="D127" s="71"/>
      <c r="E127" s="71"/>
      <c r="F127" s="73"/>
    </row>
    <row r="128" spans="1:6" x14ac:dyDescent="0.3">
      <c r="A128" s="70" t="s">
        <v>452</v>
      </c>
      <c r="B128" s="71" t="s">
        <v>429</v>
      </c>
      <c r="C128" s="78">
        <f>C35*C8*C33*C36</f>
        <v>46785.600000000006</v>
      </c>
      <c r="D128" s="71"/>
      <c r="E128" s="71"/>
      <c r="F128" s="73"/>
    </row>
    <row r="129" spans="1:12" x14ac:dyDescent="0.3">
      <c r="A129" s="70" t="s">
        <v>458</v>
      </c>
      <c r="B129" s="71" t="s">
        <v>429</v>
      </c>
      <c r="C129" s="78">
        <f>C126-C128</f>
        <v>309767.45699739107</v>
      </c>
      <c r="D129" s="71"/>
      <c r="E129" s="71"/>
      <c r="F129" s="73"/>
    </row>
    <row r="130" spans="1:12" ht="24" x14ac:dyDescent="0.3">
      <c r="A130" s="70" t="s">
        <v>459</v>
      </c>
      <c r="B130" s="71" t="s">
        <v>431</v>
      </c>
      <c r="C130" s="248">
        <f>C129/((C46+C47)*C48*C133*C49*C36)</f>
        <v>0.30941384117890086</v>
      </c>
      <c r="D130" s="71"/>
      <c r="E130" s="71"/>
      <c r="F130" s="73"/>
    </row>
    <row r="131" spans="1:12" x14ac:dyDescent="0.3">
      <c r="A131" s="80"/>
      <c r="B131" s="80"/>
      <c r="C131" s="82"/>
      <c r="D131" s="80"/>
      <c r="E131" s="73"/>
      <c r="F131" s="73"/>
    </row>
    <row r="132" spans="1:12" x14ac:dyDescent="0.3">
      <c r="A132" s="9" t="s">
        <v>359</v>
      </c>
      <c r="B132" s="51"/>
      <c r="C132" s="56"/>
      <c r="D132" s="51"/>
      <c r="E132" s="51"/>
      <c r="F132" s="57"/>
    </row>
    <row r="133" spans="1:12" x14ac:dyDescent="0.3">
      <c r="A133" s="70" t="s">
        <v>364</v>
      </c>
      <c r="B133" s="71" t="s">
        <v>11</v>
      </c>
      <c r="C133" s="72">
        <v>5</v>
      </c>
      <c r="D133" s="71"/>
      <c r="E133" s="73"/>
      <c r="F133" s="73"/>
    </row>
    <row r="134" spans="1:12" x14ac:dyDescent="0.3">
      <c r="A134" s="84" t="s">
        <v>336</v>
      </c>
      <c r="B134" s="84" t="s">
        <v>14</v>
      </c>
      <c r="C134" s="125">
        <f>C20</f>
        <v>135883.85755469135</v>
      </c>
      <c r="D134" s="126"/>
      <c r="E134" s="87"/>
      <c r="F134" s="87"/>
      <c r="G134" s="2"/>
      <c r="H134" s="2"/>
      <c r="I134" s="2"/>
      <c r="J134" s="2"/>
      <c r="K134" s="2"/>
      <c r="L134" s="2"/>
    </row>
    <row r="135" spans="1:12" x14ac:dyDescent="0.3">
      <c r="A135" s="84" t="s">
        <v>337</v>
      </c>
      <c r="B135" s="84" t="s">
        <v>14</v>
      </c>
      <c r="C135" s="127">
        <f>(C7*(1-C9)^C133-C10*(C46+C47)*C48*C133)*C107</f>
        <v>25134.916700840429</v>
      </c>
      <c r="D135" s="84"/>
      <c r="E135" s="87"/>
      <c r="F135" s="128"/>
      <c r="G135" s="2"/>
      <c r="H135" s="2"/>
      <c r="I135" s="2"/>
      <c r="J135" s="2"/>
      <c r="K135" s="2"/>
      <c r="L135" s="2"/>
    </row>
    <row r="136" spans="1:12" x14ac:dyDescent="0.3">
      <c r="A136" s="84" t="s">
        <v>386</v>
      </c>
      <c r="B136" s="84" t="s">
        <v>14</v>
      </c>
      <c r="C136" s="129">
        <f>(C39+C43+C42)*SUM(C103:C107)</f>
        <v>218614.06646590205</v>
      </c>
      <c r="D136" s="84"/>
      <c r="E136" s="87"/>
      <c r="F136" s="87"/>
      <c r="G136" s="2"/>
      <c r="H136" s="2"/>
      <c r="I136" s="2"/>
      <c r="J136" s="2"/>
      <c r="K136" s="2"/>
      <c r="L136" s="2"/>
    </row>
    <row r="137" spans="1:12" x14ac:dyDescent="0.3">
      <c r="A137" s="80"/>
      <c r="B137" s="80"/>
      <c r="C137" s="82"/>
      <c r="D137" s="80"/>
      <c r="E137" s="83"/>
      <c r="F137" s="83"/>
    </row>
    <row r="138" spans="1:12" x14ac:dyDescent="0.3">
      <c r="A138" s="7" t="s">
        <v>367</v>
      </c>
      <c r="B138" s="5"/>
      <c r="C138" s="5"/>
      <c r="D138" s="5"/>
      <c r="E138" s="5"/>
      <c r="F138" s="5"/>
    </row>
    <row r="139" spans="1:12" x14ac:dyDescent="0.3">
      <c r="A139" s="84" t="s">
        <v>343</v>
      </c>
      <c r="B139" s="80" t="s">
        <v>14</v>
      </c>
      <c r="C139" s="122">
        <f>C84*SUM(C103:C107)</f>
        <v>19560.238046710783</v>
      </c>
      <c r="D139" s="80"/>
      <c r="E139" s="83"/>
      <c r="F139" s="83"/>
      <c r="G139" s="34">
        <f>C139/12/5</f>
        <v>326.00396744517968</v>
      </c>
    </row>
    <row r="140" spans="1:12" x14ac:dyDescent="0.3">
      <c r="A140" s="84" t="s">
        <v>344</v>
      </c>
      <c r="B140" s="80" t="s">
        <v>14</v>
      </c>
      <c r="C140" s="122">
        <f>C85*SUM(C103:C107)</f>
        <v>14778.895787167439</v>
      </c>
      <c r="D140" s="80"/>
      <c r="E140" s="83"/>
      <c r="F140" s="130"/>
      <c r="G140" s="34">
        <f>C140/12/5</f>
        <v>246.314929786124</v>
      </c>
    </row>
    <row r="141" spans="1:12" hidden="1" x14ac:dyDescent="0.3">
      <c r="A141" s="84" t="s">
        <v>241</v>
      </c>
      <c r="B141" s="80" t="s">
        <v>14</v>
      </c>
      <c r="C141" s="131" t="e">
        <f>(((C76*C28*C29)+(C80*C8*C28*C29))*(1-#REF!)*(C48*C133/C31))/C80</f>
        <v>#REF!</v>
      </c>
      <c r="D141" s="80" t="e">
        <f>(((((C76*C28*C29)+(C80*C8*C28*C29))-((C76*C28*C29*#REF!)+(C80*C8*C28*C29*#REF!)))/C32)/(C80*C48)) *C48* C133</f>
        <v>#REF!</v>
      </c>
      <c r="E141" s="73" t="e">
        <f>(((((C76*C28*C29)+(C80*C8*C28*C29))-((C76*C28*C29*#REF!)+(C80*C8*C28*C29*#REF!)))/C32)/(C80*C48)) *C48* C133</f>
        <v>#REF!</v>
      </c>
      <c r="F141" s="130" t="s">
        <v>242</v>
      </c>
      <c r="G141" s="34" t="e">
        <f>C141/12/5</f>
        <v>#REF!</v>
      </c>
    </row>
    <row r="142" spans="1:12" x14ac:dyDescent="0.3">
      <c r="A142" s="84" t="s">
        <v>345</v>
      </c>
      <c r="B142" s="80" t="s">
        <v>14</v>
      </c>
      <c r="C142" s="131">
        <f>C86*SUM(C103:C107)</f>
        <v>34380.415164569546</v>
      </c>
      <c r="D142" s="80"/>
      <c r="E142" s="73"/>
      <c r="F142" s="130"/>
      <c r="G142" s="34">
        <f>C142/12/5</f>
        <v>573.00691940949241</v>
      </c>
    </row>
    <row r="143" spans="1:12" x14ac:dyDescent="0.3">
      <c r="A143" s="84" t="s">
        <v>347</v>
      </c>
      <c r="B143" s="80" t="s">
        <v>14</v>
      </c>
      <c r="C143" s="122">
        <f>C90*SUM(C103:C107)</f>
        <v>43171.754202085052</v>
      </c>
      <c r="D143" s="93"/>
      <c r="E143" s="73"/>
      <c r="F143" s="73"/>
      <c r="G143" s="3">
        <f>C143/12/5</f>
        <v>719.52923670141752</v>
      </c>
    </row>
    <row r="144" spans="1:12" x14ac:dyDescent="0.3">
      <c r="A144" s="84" t="s">
        <v>346</v>
      </c>
      <c r="B144" s="84" t="s">
        <v>14</v>
      </c>
      <c r="C144" s="122">
        <f>C143+C142+C140+C139</f>
        <v>111891.30320053281</v>
      </c>
      <c r="D144" s="123"/>
      <c r="E144" s="73"/>
      <c r="F144" s="73"/>
    </row>
    <row r="145" spans="1:12" x14ac:dyDescent="0.3">
      <c r="A145" s="84" t="s">
        <v>349</v>
      </c>
      <c r="B145" s="80" t="s">
        <v>14</v>
      </c>
      <c r="C145" s="122">
        <f>C93*SUM(C103:C107)</f>
        <v>3320.7292100018003</v>
      </c>
      <c r="D145" s="80"/>
      <c r="E145" s="73"/>
      <c r="F145" s="73"/>
      <c r="G145" s="34" t="e">
        <f>G140+G141+G143+G139</f>
        <v>#REF!</v>
      </c>
    </row>
    <row r="146" spans="1:12" x14ac:dyDescent="0.3">
      <c r="A146" s="84" t="s">
        <v>350</v>
      </c>
      <c r="B146" s="80" t="s">
        <v>14</v>
      </c>
      <c r="C146" s="122">
        <f>((C64)*C48)*((C97*(1-C53))+(C98*C53))</f>
        <v>38060.948571428584</v>
      </c>
      <c r="D146" s="124"/>
      <c r="E146" s="73"/>
      <c r="F146" s="73"/>
      <c r="G146" s="34">
        <f>G140+G142+G143+G139</f>
        <v>1864.8550533422135</v>
      </c>
    </row>
    <row r="147" spans="1:12" x14ac:dyDescent="0.3">
      <c r="A147" s="84" t="s">
        <v>235</v>
      </c>
      <c r="B147" s="80" t="s">
        <v>14</v>
      </c>
      <c r="C147" s="122">
        <f>((C65)*C48)*((C97*(1-C53))+(C98*C53))</f>
        <v>38251.253314285714</v>
      </c>
      <c r="D147" s="124"/>
      <c r="E147" s="73"/>
      <c r="F147" s="73"/>
    </row>
    <row r="148" spans="1:12" x14ac:dyDescent="0.3">
      <c r="A148" s="84" t="s">
        <v>236</v>
      </c>
      <c r="B148" s="80" t="s">
        <v>14</v>
      </c>
      <c r="C148" s="122">
        <f>((C66)*C48)*((C97*(1-C53))+(C98*C53))</f>
        <v>38442.509580857142</v>
      </c>
      <c r="D148" s="124"/>
      <c r="E148" s="73"/>
      <c r="F148" s="73"/>
    </row>
    <row r="149" spans="1:12" x14ac:dyDescent="0.3">
      <c r="A149" s="84" t="s">
        <v>237</v>
      </c>
      <c r="B149" s="80" t="s">
        <v>14</v>
      </c>
      <c r="C149" s="122">
        <f>((C67)*C48)*((C97*(1-C53))+(C98*C53))</f>
        <v>38634.722128761423</v>
      </c>
      <c r="D149" s="124"/>
      <c r="E149" s="73"/>
      <c r="F149" s="73"/>
    </row>
    <row r="150" spans="1:12" x14ac:dyDescent="0.3">
      <c r="A150" s="84" t="s">
        <v>238</v>
      </c>
      <c r="B150" s="80" t="s">
        <v>14</v>
      </c>
      <c r="C150" s="122">
        <f>((C68)*C48)*((C97*(1-C53))+(C98*C53))</f>
        <v>38827.895739405227</v>
      </c>
      <c r="D150" s="124"/>
      <c r="E150" s="73"/>
      <c r="F150" s="73"/>
    </row>
    <row r="151" spans="1:12" x14ac:dyDescent="0.3">
      <c r="A151" s="84" t="s">
        <v>351</v>
      </c>
      <c r="B151" s="80" t="s">
        <v>14</v>
      </c>
      <c r="C151" s="122">
        <f>C146*C103+C147*C104+C148*C105+C149*C106+C150*C107</f>
        <v>145592.99826677435</v>
      </c>
      <c r="D151" s="124"/>
      <c r="E151" s="73"/>
      <c r="F151" s="73"/>
    </row>
    <row r="152" spans="1:12" x14ac:dyDescent="0.3">
      <c r="A152" s="133" t="s">
        <v>365</v>
      </c>
      <c r="B152" s="133" t="s">
        <v>14</v>
      </c>
      <c r="C152" s="134">
        <f>C144+C145+C151</f>
        <v>260805.03067730897</v>
      </c>
      <c r="D152" s="133"/>
      <c r="E152" s="135"/>
      <c r="F152" s="136"/>
      <c r="G152" s="6"/>
      <c r="H152" s="6"/>
      <c r="I152" s="6"/>
      <c r="J152" s="6"/>
      <c r="K152" s="6"/>
      <c r="L152" s="6"/>
    </row>
    <row r="153" spans="1:12" x14ac:dyDescent="0.3">
      <c r="A153" s="84"/>
      <c r="B153" s="84"/>
      <c r="C153" s="86"/>
      <c r="D153" s="84"/>
      <c r="E153" s="87"/>
      <c r="F153" s="88"/>
      <c r="G153" s="2"/>
      <c r="H153" s="2"/>
      <c r="I153" s="2"/>
      <c r="J153" s="2"/>
      <c r="K153" s="2"/>
      <c r="L153" s="2"/>
    </row>
    <row r="154" spans="1:12" ht="12" customHeight="1" x14ac:dyDescent="0.3">
      <c r="A154" s="7" t="s">
        <v>366</v>
      </c>
      <c r="B154" s="7"/>
      <c r="C154" s="29"/>
      <c r="D154" s="5"/>
      <c r="E154" s="5"/>
      <c r="F154" s="18"/>
    </row>
    <row r="155" spans="1:12" x14ac:dyDescent="0.3">
      <c r="A155" s="84" t="s">
        <v>95</v>
      </c>
      <c r="B155" s="84" t="s">
        <v>144</v>
      </c>
      <c r="C155" s="122">
        <f>(C134-C135)+C136+C152-C110</f>
        <v>590168.03799706185</v>
      </c>
      <c r="D155" s="80"/>
      <c r="E155" s="87"/>
      <c r="F155" s="73"/>
      <c r="G155" s="2"/>
      <c r="H155" s="2"/>
      <c r="I155" s="2"/>
      <c r="J155" s="2"/>
      <c r="K155" s="2"/>
      <c r="L155" s="2"/>
    </row>
    <row r="156" spans="1:12" x14ac:dyDescent="0.3">
      <c r="A156" s="84" t="s">
        <v>140</v>
      </c>
      <c r="B156" s="84" t="s">
        <v>19</v>
      </c>
      <c r="C156" s="122">
        <f>C155/C133</f>
        <v>118033.60759941237</v>
      </c>
      <c r="D156" s="80"/>
      <c r="E156" s="87"/>
      <c r="F156" s="73"/>
      <c r="G156" s="2"/>
      <c r="H156" s="2"/>
      <c r="I156" s="2"/>
      <c r="J156" s="2"/>
      <c r="K156" s="2"/>
      <c r="L156" s="2"/>
    </row>
    <row r="157" spans="1:12" x14ac:dyDescent="0.3">
      <c r="A157" s="84" t="s">
        <v>54</v>
      </c>
      <c r="B157" s="84" t="s">
        <v>55</v>
      </c>
      <c r="C157" s="122">
        <f>C155/((C46+C47)*C48*C133)</f>
        <v>1.1789886603822581</v>
      </c>
      <c r="D157" s="80"/>
      <c r="E157" s="87"/>
      <c r="F157" s="73"/>
      <c r="G157" s="2"/>
      <c r="H157" s="2"/>
      <c r="I157" s="2"/>
      <c r="J157" s="2"/>
      <c r="K157" s="2"/>
      <c r="L157" s="2"/>
    </row>
    <row r="158" spans="1:12" x14ac:dyDescent="0.3">
      <c r="A158" s="84"/>
      <c r="B158" s="84"/>
      <c r="C158" s="122"/>
      <c r="D158" s="80"/>
      <c r="E158" s="87"/>
      <c r="F158" s="73"/>
      <c r="G158" s="2"/>
      <c r="H158" s="2"/>
      <c r="I158" s="2"/>
      <c r="J158" s="2"/>
      <c r="K158" s="2"/>
      <c r="L158" s="2"/>
    </row>
    <row r="159" spans="1:12" s="21" customFormat="1" x14ac:dyDescent="0.3">
      <c r="A159" s="58" t="s">
        <v>141</v>
      </c>
      <c r="B159" s="58"/>
      <c r="C159" s="59"/>
      <c r="D159" s="58"/>
      <c r="E159" s="60"/>
      <c r="F159" s="60"/>
      <c r="G159" s="2"/>
      <c r="H159" s="2"/>
      <c r="I159" s="2"/>
      <c r="J159" s="2"/>
      <c r="K159" s="2"/>
      <c r="L159" s="2"/>
    </row>
    <row r="160" spans="1:12" x14ac:dyDescent="0.3">
      <c r="A160" s="7" t="s">
        <v>143</v>
      </c>
      <c r="B160" s="7"/>
      <c r="C160" s="7"/>
      <c r="D160" s="7"/>
      <c r="E160" s="7"/>
      <c r="F160" s="7"/>
      <c r="G160" s="10"/>
      <c r="H160" s="10"/>
      <c r="I160" s="10"/>
      <c r="J160" s="10"/>
      <c r="K160" s="10"/>
      <c r="L160" s="10"/>
    </row>
    <row r="161" spans="1:12" x14ac:dyDescent="0.3">
      <c r="A161" s="84" t="s">
        <v>95</v>
      </c>
      <c r="B161" s="84" t="s">
        <v>144</v>
      </c>
      <c r="C161" s="138">
        <f>C155-'Diesel(5)LCE'!C154</f>
        <v>84817.944817403506</v>
      </c>
      <c r="D161" s="80"/>
      <c r="E161" s="73"/>
      <c r="F161" s="73"/>
    </row>
    <row r="162" spans="1:12" x14ac:dyDescent="0.3">
      <c r="A162" s="84" t="s">
        <v>140</v>
      </c>
      <c r="B162" s="84" t="s">
        <v>19</v>
      </c>
      <c r="C162" s="138">
        <f>C156-'Diesel(5)LCE'!C155</f>
        <v>16963.588963480695</v>
      </c>
      <c r="D162" s="80"/>
      <c r="E162" s="73"/>
      <c r="F162" s="73"/>
    </row>
    <row r="163" spans="1:12" x14ac:dyDescent="0.3">
      <c r="A163" s="84" t="s">
        <v>54</v>
      </c>
      <c r="B163" s="84" t="s">
        <v>55</v>
      </c>
      <c r="C163" s="138">
        <f>C157-'Diesel(5)LCE'!C156</f>
        <v>0.16944224135896824</v>
      </c>
      <c r="D163" s="80"/>
      <c r="E163" s="73"/>
      <c r="F163" s="73"/>
    </row>
    <row r="164" spans="1:12" x14ac:dyDescent="0.3">
      <c r="A164" s="84"/>
      <c r="B164" s="84"/>
      <c r="C164" s="138"/>
      <c r="D164" s="80"/>
      <c r="E164" s="73"/>
      <c r="F164" s="73"/>
    </row>
    <row r="165" spans="1:12" x14ac:dyDescent="0.3">
      <c r="A165" s="7" t="s">
        <v>142</v>
      </c>
      <c r="B165" s="7"/>
      <c r="C165" s="7"/>
      <c r="D165" s="7"/>
      <c r="E165" s="7"/>
      <c r="F165" s="7"/>
      <c r="G165" s="10"/>
      <c r="H165" s="10"/>
      <c r="I165" s="10"/>
      <c r="J165" s="10"/>
      <c r="K165" s="10"/>
      <c r="L165" s="10"/>
    </row>
    <row r="166" spans="1:12" x14ac:dyDescent="0.3">
      <c r="A166" s="84" t="s">
        <v>95</v>
      </c>
      <c r="B166" s="84" t="s">
        <v>144</v>
      </c>
      <c r="C166" s="138">
        <f>C155-'BET-C(5)LCE'!C152</f>
        <v>-3790.6971913562156</v>
      </c>
      <c r="D166" s="80"/>
      <c r="E166" s="73"/>
      <c r="F166" s="73"/>
    </row>
    <row r="167" spans="1:12" x14ac:dyDescent="0.3">
      <c r="A167" s="84" t="s">
        <v>140</v>
      </c>
      <c r="B167" s="84" t="s">
        <v>19</v>
      </c>
      <c r="C167" s="138">
        <f>C156-'BET-C(5)LCE'!C153</f>
        <v>-758.13943827124604</v>
      </c>
      <c r="D167" s="80"/>
      <c r="E167" s="73"/>
      <c r="F167" s="73"/>
    </row>
    <row r="168" spans="1:12" x14ac:dyDescent="0.3">
      <c r="A168" s="84" t="s">
        <v>54</v>
      </c>
      <c r="B168" s="84" t="s">
        <v>55</v>
      </c>
      <c r="C168" s="138">
        <f>C157-'BET-C(5)LCE'!C154</f>
        <v>-7.5727398229148424E-3</v>
      </c>
      <c r="D168" s="80"/>
      <c r="E168" s="73"/>
      <c r="F168" s="73"/>
    </row>
    <row r="169" spans="1:12" x14ac:dyDescent="0.3">
      <c r="A169" s="84"/>
      <c r="B169" s="80"/>
      <c r="C169" s="139"/>
      <c r="D169" s="80"/>
      <c r="E169" s="73"/>
      <c r="F169" s="73"/>
    </row>
    <row r="170" spans="1:12" x14ac:dyDescent="0.3">
      <c r="A170" s="7" t="s">
        <v>243</v>
      </c>
      <c r="B170" s="7"/>
      <c r="C170" s="7"/>
      <c r="D170" s="7"/>
      <c r="E170" s="7"/>
      <c r="F170" s="7"/>
      <c r="G170" s="10"/>
      <c r="H170" s="10"/>
      <c r="I170" s="10"/>
      <c r="J170" s="10"/>
      <c r="K170" s="10"/>
      <c r="L170" s="10"/>
    </row>
    <row r="171" spans="1:12" x14ac:dyDescent="0.3">
      <c r="A171" s="84" t="s">
        <v>95</v>
      </c>
      <c r="B171" s="84" t="s">
        <v>144</v>
      </c>
      <c r="C171" s="138"/>
      <c r="D171" s="80"/>
      <c r="E171" s="73"/>
      <c r="F171" s="73"/>
    </row>
    <row r="172" spans="1:12" x14ac:dyDescent="0.3">
      <c r="A172" s="84" t="s">
        <v>140</v>
      </c>
      <c r="B172" s="84" t="s">
        <v>19</v>
      </c>
      <c r="C172" s="138"/>
      <c r="D172" s="80"/>
      <c r="E172" s="73"/>
      <c r="F172" s="73"/>
    </row>
    <row r="173" spans="1:12" x14ac:dyDescent="0.3">
      <c r="A173" s="84" t="s">
        <v>54</v>
      </c>
      <c r="B173" s="84" t="s">
        <v>55</v>
      </c>
      <c r="C173" s="138"/>
      <c r="D173" s="80"/>
      <c r="E173" s="73"/>
      <c r="F173" s="73"/>
    </row>
    <row r="174" spans="1:12" x14ac:dyDescent="0.3">
      <c r="A174" s="84"/>
      <c r="B174" s="84"/>
      <c r="C174" s="138"/>
      <c r="D174" s="80"/>
      <c r="E174" s="73"/>
      <c r="F174" s="73"/>
    </row>
    <row r="175" spans="1:12" x14ac:dyDescent="0.3">
      <c r="A175" s="46" t="s">
        <v>49</v>
      </c>
      <c r="B175" s="46"/>
      <c r="C175" s="54"/>
      <c r="D175" s="46"/>
      <c r="E175" s="55"/>
      <c r="F175" s="55"/>
      <c r="G175" s="2"/>
      <c r="H175" s="2"/>
      <c r="I175" s="2"/>
      <c r="J175" s="2"/>
      <c r="K175" s="2"/>
      <c r="L175" s="2"/>
    </row>
    <row r="176" spans="1:12" x14ac:dyDescent="0.3">
      <c r="A176" s="12" t="s">
        <v>310</v>
      </c>
      <c r="B176" s="53"/>
      <c r="C176" s="53"/>
      <c r="E176" s="3"/>
    </row>
    <row r="177" spans="1:7" x14ac:dyDescent="0.3">
      <c r="A177" s="80" t="s">
        <v>298</v>
      </c>
      <c r="B177" s="80" t="s">
        <v>14</v>
      </c>
      <c r="C177" s="93">
        <f>C73+C74+C72</f>
        <v>7502293.1999999993</v>
      </c>
      <c r="E177" s="3"/>
    </row>
    <row r="178" spans="1:7" x14ac:dyDescent="0.3">
      <c r="A178" s="80" t="s">
        <v>300</v>
      </c>
      <c r="B178" s="80" t="s">
        <v>14</v>
      </c>
      <c r="C178" s="92">
        <f>C$82+C$83+(C64*C$48*C$94*(1-C$53)+C64*C$48*(C$95*C$53))*51</f>
        <v>1235259.1885714286</v>
      </c>
      <c r="E178" s="3"/>
      <c r="G178" s="3" t="s">
        <v>314</v>
      </c>
    </row>
    <row r="179" spans="1:7" x14ac:dyDescent="0.3">
      <c r="A179" s="80" t="s">
        <v>301</v>
      </c>
      <c r="B179" s="80" t="s">
        <v>14</v>
      </c>
      <c r="C179" s="92">
        <f>C$82+C$83+(C65*C$48*C$94*(1-C$53)+C65*C$48*(C$95*C$53))*51</f>
        <v>1240111.9595142857</v>
      </c>
      <c r="E179" s="3"/>
      <c r="G179" s="3" t="s">
        <v>315</v>
      </c>
    </row>
    <row r="180" spans="1:7" x14ac:dyDescent="0.3">
      <c r="A180" s="80" t="s">
        <v>302</v>
      </c>
      <c r="B180" s="80" t="s">
        <v>14</v>
      </c>
      <c r="C180" s="92">
        <f>C$82+C$83+(C66*C$48*C$94*(1-C$53)+C66*C$48*(C$95*C$53))*51</f>
        <v>1244988.994311857</v>
      </c>
      <c r="E180" s="3"/>
      <c r="G180" s="3" t="s">
        <v>316</v>
      </c>
    </row>
    <row r="181" spans="1:7" x14ac:dyDescent="0.3">
      <c r="A181" s="80" t="s">
        <v>303</v>
      </c>
      <c r="B181" s="80" t="s">
        <v>14</v>
      </c>
      <c r="C181" s="92">
        <f>C$82+C$83+(C67*C$48*C$94*(1-C$53)+C67*C$48*(C$95*C$53))*51</f>
        <v>1249890.4142834162</v>
      </c>
      <c r="E181" s="3"/>
      <c r="G181" s="3" t="s">
        <v>320</v>
      </c>
    </row>
    <row r="182" spans="1:7" x14ac:dyDescent="0.3">
      <c r="A182" s="80" t="s">
        <v>304</v>
      </c>
      <c r="B182" s="80" t="s">
        <v>14</v>
      </c>
      <c r="C182" s="92">
        <f>C$82+C$83+(C68*C$48*C$94*(1-C$53)+C68*C$48*(C$95*C$53))*51</f>
        <v>1254816.341354833</v>
      </c>
      <c r="E182" s="3"/>
      <c r="G182" s="3" t="s">
        <v>321</v>
      </c>
    </row>
    <row r="183" spans="1:7" x14ac:dyDescent="0.3">
      <c r="A183" s="80" t="s">
        <v>305</v>
      </c>
      <c r="B183" s="80" t="s">
        <v>14</v>
      </c>
      <c r="C183" s="93">
        <f>(2578*12+C$92*C$50*C$48+((C64)*C$48)*((C$97*(1-C$53))+(C$98*C$53)))*51</f>
        <v>3563520.3771428578</v>
      </c>
      <c r="F183" s="16" t="s">
        <v>312</v>
      </c>
    </row>
    <row r="184" spans="1:7" x14ac:dyDescent="0.3">
      <c r="A184" s="80" t="s">
        <v>306</v>
      </c>
      <c r="B184" s="80" t="s">
        <v>14</v>
      </c>
      <c r="C184" s="93">
        <f t="shared" ref="C184:C187" si="2">(2578*12+C$92*C$50*C$48+((C65)*C$48)*((C$97*(1-C$53))+(C$98*C$53)))*51</f>
        <v>3573225.9190285713</v>
      </c>
      <c r="D184" s="80"/>
      <c r="E184" s="73"/>
      <c r="F184" s="73"/>
    </row>
    <row r="185" spans="1:7" x14ac:dyDescent="0.3">
      <c r="A185" s="80" t="s">
        <v>307</v>
      </c>
      <c r="B185" s="80" t="s">
        <v>14</v>
      </c>
      <c r="C185" s="93">
        <f t="shared" si="2"/>
        <v>3582979.9886237145</v>
      </c>
      <c r="D185" s="80"/>
      <c r="E185" s="73"/>
      <c r="F185" s="73"/>
    </row>
    <row r="186" spans="1:7" x14ac:dyDescent="0.3">
      <c r="A186" s="80" t="s">
        <v>308</v>
      </c>
      <c r="B186" s="80" t="s">
        <v>14</v>
      </c>
      <c r="C186" s="93">
        <f t="shared" si="2"/>
        <v>3592782.8285668325</v>
      </c>
      <c r="D186" s="80"/>
      <c r="E186" s="73"/>
      <c r="F186" s="73"/>
    </row>
    <row r="187" spans="1:7" x14ac:dyDescent="0.3">
      <c r="A187" s="80" t="s">
        <v>309</v>
      </c>
      <c r="B187" s="80" t="s">
        <v>14</v>
      </c>
      <c r="C187" s="93">
        <f t="shared" si="2"/>
        <v>3602634.6827096664</v>
      </c>
      <c r="D187" s="80"/>
      <c r="E187" s="73"/>
      <c r="F187" s="73"/>
    </row>
    <row r="188" spans="1:7" x14ac:dyDescent="0.3">
      <c r="A188" s="53"/>
      <c r="B188" s="53"/>
      <c r="C188" s="19" t="s">
        <v>313</v>
      </c>
      <c r="D188" s="80"/>
      <c r="E188" s="73"/>
      <c r="F188" s="73"/>
    </row>
    <row r="189" spans="1:7" x14ac:dyDescent="0.3">
      <c r="A189" s="94">
        <v>36891</v>
      </c>
      <c r="B189" s="80" t="s">
        <v>14</v>
      </c>
      <c r="C189" s="96">
        <f>-C177</f>
        <v>-7502293.1999999993</v>
      </c>
      <c r="D189" s="80"/>
      <c r="E189" s="73"/>
      <c r="F189" s="73"/>
    </row>
    <row r="190" spans="1:7" x14ac:dyDescent="0.3">
      <c r="A190" s="94">
        <f>EDATE(A189,12)</f>
        <v>37256</v>
      </c>
      <c r="B190" s="80" t="s">
        <v>14</v>
      </c>
      <c r="C190" s="95">
        <f>C183-C178</f>
        <v>2328261.1885714289</v>
      </c>
      <c r="D190" s="80"/>
      <c r="E190" s="73"/>
      <c r="F190" s="73"/>
    </row>
    <row r="191" spans="1:7" x14ac:dyDescent="0.3">
      <c r="A191" s="94">
        <f>EDATE(A190,12)</f>
        <v>37621</v>
      </c>
      <c r="B191" s="80" t="s">
        <v>14</v>
      </c>
      <c r="C191" s="95">
        <f>C184-C179</f>
        <v>2333113.9595142854</v>
      </c>
      <c r="D191" s="80"/>
      <c r="E191" s="73"/>
      <c r="F191" s="73"/>
    </row>
    <row r="192" spans="1:7" x14ac:dyDescent="0.3">
      <c r="A192" s="94">
        <f>EDATE(A191,12)</f>
        <v>37986</v>
      </c>
      <c r="B192" s="80" t="s">
        <v>14</v>
      </c>
      <c r="C192" s="95">
        <f>C185-C180</f>
        <v>2337990.9943118575</v>
      </c>
      <c r="D192" s="80"/>
      <c r="E192" s="73"/>
      <c r="F192" s="73"/>
    </row>
    <row r="193" spans="1:6" x14ac:dyDescent="0.3">
      <c r="A193" s="94">
        <f>EDATE(A192,12)</f>
        <v>38352</v>
      </c>
      <c r="B193" s="80" t="s">
        <v>14</v>
      </c>
      <c r="C193" s="95">
        <f>C186-C181</f>
        <v>2342892.4142834162</v>
      </c>
      <c r="D193" s="80"/>
      <c r="E193" s="73"/>
      <c r="F193" s="73"/>
    </row>
    <row r="194" spans="1:6" x14ac:dyDescent="0.3">
      <c r="A194" s="94">
        <f>EDATE(A193,12)</f>
        <v>38717</v>
      </c>
      <c r="B194" s="80" t="s">
        <v>14</v>
      </c>
      <c r="C194" s="95">
        <f>C187-C182</f>
        <v>2347818.3413548335</v>
      </c>
      <c r="D194" s="80"/>
      <c r="E194" s="73"/>
      <c r="F194" s="73"/>
    </row>
    <row r="195" spans="1:6" x14ac:dyDescent="0.3">
      <c r="A195" s="140" t="s">
        <v>311</v>
      </c>
      <c r="B195" s="141">
        <f>+XIRR(C189:C194,A189:A194,0)</f>
        <v>0.1683762744140625</v>
      </c>
      <c r="C195" s="57" t="s">
        <v>368</v>
      </c>
      <c r="D195" s="80"/>
      <c r="E195" s="73"/>
      <c r="F195" s="73"/>
    </row>
    <row r="196" spans="1:6" x14ac:dyDescent="0.3">
      <c r="A196" s="80"/>
      <c r="B196" s="80"/>
      <c r="C196" s="96">
        <f>C189+C190</f>
        <v>-5174032.0114285704</v>
      </c>
      <c r="D196" s="80"/>
      <c r="E196" s="73"/>
      <c r="F196" s="73"/>
    </row>
    <row r="197" spans="1:6" x14ac:dyDescent="0.3">
      <c r="A197" s="80"/>
      <c r="B197" s="80"/>
      <c r="C197" s="96">
        <f>C196+C191</f>
        <v>-2840918.0519142849</v>
      </c>
      <c r="D197" s="80"/>
      <c r="E197" s="73"/>
      <c r="F197" s="73"/>
    </row>
    <row r="198" spans="1:6" x14ac:dyDescent="0.3">
      <c r="A198" s="80"/>
      <c r="B198" s="80"/>
      <c r="C198" s="96">
        <f>C197+C192</f>
        <v>-502927.05760242743</v>
      </c>
      <c r="D198" s="80"/>
      <c r="E198" s="73"/>
      <c r="F198" s="73"/>
    </row>
    <row r="199" spans="1:6" x14ac:dyDescent="0.3">
      <c r="A199" s="80"/>
      <c r="B199" s="80"/>
      <c r="C199" s="96">
        <f>C198+C193</f>
        <v>1839965.3566809888</v>
      </c>
      <c r="D199" s="80"/>
      <c r="E199" s="73"/>
      <c r="F199" s="73"/>
    </row>
    <row r="200" spans="1:6" x14ac:dyDescent="0.3">
      <c r="A200" s="80"/>
      <c r="B200" s="80"/>
      <c r="C200" s="96">
        <f>C199+C194</f>
        <v>4187783.6980358222</v>
      </c>
      <c r="D200" s="80"/>
      <c r="E200" s="73"/>
      <c r="F200" s="73"/>
    </row>
    <row r="201" spans="1:6" x14ac:dyDescent="0.3">
      <c r="A201" s="7" t="s">
        <v>360</v>
      </c>
      <c r="B201" s="5"/>
      <c r="C201" s="28"/>
      <c r="D201" s="5"/>
      <c r="E201" s="5"/>
      <c r="F201" s="18"/>
    </row>
    <row r="202" spans="1:6" x14ac:dyDescent="0.3">
      <c r="A202" s="70"/>
      <c r="B202" s="71"/>
      <c r="C202" s="72"/>
      <c r="D202" s="71"/>
      <c r="E202" s="71"/>
      <c r="F202" s="73"/>
    </row>
    <row r="203" spans="1:6" x14ac:dyDescent="0.3">
      <c r="A203" s="70" t="s">
        <v>119</v>
      </c>
      <c r="B203" s="74" t="s">
        <v>14</v>
      </c>
      <c r="C203" s="75">
        <v>15.78</v>
      </c>
      <c r="D203" s="74" t="s">
        <v>201</v>
      </c>
      <c r="E203" s="73"/>
      <c r="F203" s="73" t="s">
        <v>193</v>
      </c>
    </row>
    <row r="204" spans="1:6" x14ac:dyDescent="0.3">
      <c r="A204" s="70" t="s">
        <v>120</v>
      </c>
      <c r="B204" s="74" t="s">
        <v>121</v>
      </c>
      <c r="C204" s="75">
        <v>48</v>
      </c>
      <c r="D204" s="74" t="s">
        <v>201</v>
      </c>
      <c r="E204" s="73"/>
      <c r="F204" s="73"/>
    </row>
    <row r="205" spans="1:6" ht="96" x14ac:dyDescent="0.3">
      <c r="A205" s="70" t="s">
        <v>18</v>
      </c>
      <c r="B205" s="74" t="s">
        <v>19</v>
      </c>
      <c r="C205" s="72">
        <f>C48/(C204/9)*C204*C203</f>
        <v>41469.839999999997</v>
      </c>
      <c r="D205" s="74"/>
      <c r="E205" s="73" t="s">
        <v>20</v>
      </c>
      <c r="F205" s="73" t="s">
        <v>203</v>
      </c>
    </row>
  </sheetData>
  <mergeCells count="1">
    <mergeCell ref="A4:D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2098-5ED1-4339-AD0A-61EED3AC6F99}">
  <sheetPr>
    <tabColor rgb="FF2575F0"/>
  </sheetPr>
  <dimension ref="A1:L177"/>
  <sheetViews>
    <sheetView topLeftCell="A103" zoomScale="116" zoomScaleNormal="100" workbookViewId="0">
      <selection activeCell="C127" sqref="C127"/>
    </sheetView>
  </sheetViews>
  <sheetFormatPr defaultColWidth="8.7265625" defaultRowHeight="12" x14ac:dyDescent="0.3"/>
  <cols>
    <col min="1" max="1" width="35.08984375" style="3" customWidth="1"/>
    <col min="2" max="2" width="13.453125" style="3" customWidth="1"/>
    <col min="3" max="3" width="15" style="65" customWidth="1"/>
    <col min="4" max="4" width="20.36328125" style="3" customWidth="1"/>
    <col min="5" max="5" width="31.453125" style="16" customWidth="1"/>
    <col min="6" max="6" width="35.90625" style="3" customWidth="1"/>
    <col min="7" max="16384" width="8.7265625" style="3"/>
  </cols>
  <sheetData>
    <row r="1" spans="1:9" ht="23.5" x14ac:dyDescent="0.55000000000000004">
      <c r="A1" s="8" t="s">
        <v>394</v>
      </c>
    </row>
    <row r="3" spans="1:9" x14ac:dyDescent="0.3">
      <c r="A3" s="163" t="s">
        <v>391</v>
      </c>
      <c r="B3" s="164"/>
      <c r="C3" s="165"/>
      <c r="D3" s="164"/>
      <c r="E3" s="166"/>
      <c r="F3" s="164"/>
    </row>
    <row r="4" spans="1:9" ht="44" customHeight="1" x14ac:dyDescent="0.3">
      <c r="A4" s="250" t="s">
        <v>286</v>
      </c>
      <c r="B4" s="250"/>
      <c r="C4" s="250"/>
      <c r="D4" s="250"/>
      <c r="E4" s="250"/>
    </row>
    <row r="5" spans="1:9" ht="24" x14ac:dyDescent="0.3">
      <c r="A5" s="167" t="s">
        <v>1</v>
      </c>
      <c r="B5" s="168" t="s">
        <v>2</v>
      </c>
      <c r="C5" s="169" t="s">
        <v>115</v>
      </c>
      <c r="D5" s="168" t="s">
        <v>3</v>
      </c>
      <c r="E5" s="168" t="s">
        <v>116</v>
      </c>
      <c r="F5" s="170" t="s">
        <v>123</v>
      </c>
    </row>
    <row r="6" spans="1:9" x14ac:dyDescent="0.3">
      <c r="A6" s="171" t="s">
        <v>13</v>
      </c>
      <c r="B6" s="172"/>
      <c r="C6" s="173"/>
      <c r="D6" s="172"/>
      <c r="E6" s="172"/>
      <c r="F6" s="23"/>
    </row>
    <row r="7" spans="1:9" x14ac:dyDescent="0.3">
      <c r="A7" s="70" t="s">
        <v>369</v>
      </c>
      <c r="B7" s="74" t="s">
        <v>129</v>
      </c>
      <c r="C7" s="192">
        <v>130000</v>
      </c>
      <c r="D7" s="74" t="s">
        <v>252</v>
      </c>
      <c r="E7" s="73"/>
      <c r="F7" s="73"/>
    </row>
    <row r="8" spans="1:9" x14ac:dyDescent="0.3">
      <c r="A8" s="97" t="s">
        <v>125</v>
      </c>
      <c r="B8" s="91" t="s">
        <v>126</v>
      </c>
      <c r="C8" s="193">
        <v>513</v>
      </c>
      <c r="D8" s="74" t="s">
        <v>205</v>
      </c>
      <c r="E8" s="73"/>
      <c r="F8" s="73"/>
    </row>
    <row r="9" spans="1:9" ht="24" x14ac:dyDescent="0.3">
      <c r="A9" s="70" t="s">
        <v>128</v>
      </c>
      <c r="B9" s="74" t="s">
        <v>7</v>
      </c>
      <c r="C9" s="162">
        <v>148</v>
      </c>
      <c r="D9" s="74" t="s">
        <v>8</v>
      </c>
      <c r="E9" s="73" t="s">
        <v>189</v>
      </c>
      <c r="F9" s="73" t="s">
        <v>189</v>
      </c>
    </row>
    <row r="10" spans="1:9" ht="24" x14ac:dyDescent="0.3">
      <c r="A10" s="70" t="s">
        <v>56</v>
      </c>
      <c r="B10" s="74" t="s">
        <v>14</v>
      </c>
      <c r="C10" s="86">
        <f>C7+C8*C9</f>
        <v>205924</v>
      </c>
      <c r="D10" s="74"/>
      <c r="E10" s="73" t="s">
        <v>57</v>
      </c>
      <c r="F10" s="80"/>
    </row>
    <row r="11" spans="1:9" x14ac:dyDescent="0.3">
      <c r="A11" s="70" t="s">
        <v>250</v>
      </c>
      <c r="B11" s="74" t="s">
        <v>118</v>
      </c>
      <c r="C11" s="187">
        <v>7.4999999999999997E-2</v>
      </c>
      <c r="D11" s="80"/>
      <c r="E11" s="74"/>
      <c r="F11" s="80"/>
      <c r="I11" s="34"/>
    </row>
    <row r="12" spans="1:9" x14ac:dyDescent="0.3">
      <c r="A12" s="70" t="s">
        <v>251</v>
      </c>
      <c r="B12" s="74" t="s">
        <v>14</v>
      </c>
      <c r="C12" s="188">
        <v>9.5000000000000001E-2</v>
      </c>
      <c r="D12" s="80"/>
      <c r="E12" s="74"/>
      <c r="F12" s="80"/>
      <c r="I12" s="34"/>
    </row>
    <row r="13" spans="1:9" ht="24" x14ac:dyDescent="0.3">
      <c r="A13" s="70" t="s">
        <v>127</v>
      </c>
      <c r="B13" s="74" t="s">
        <v>118</v>
      </c>
      <c r="C13" s="143">
        <v>0.2</v>
      </c>
      <c r="D13" s="74" t="s">
        <v>9</v>
      </c>
      <c r="E13" s="73" t="s">
        <v>15</v>
      </c>
      <c r="F13" s="73" t="s">
        <v>15</v>
      </c>
    </row>
    <row r="14" spans="1:9" ht="24" x14ac:dyDescent="0.3">
      <c r="A14" s="70" t="s">
        <v>16</v>
      </c>
      <c r="B14" s="74" t="s">
        <v>11</v>
      </c>
      <c r="C14" s="162">
        <v>15</v>
      </c>
      <c r="D14" s="74" t="s">
        <v>9</v>
      </c>
      <c r="E14" s="73" t="s">
        <v>59</v>
      </c>
      <c r="F14" s="80"/>
    </row>
    <row r="15" spans="1:9" x14ac:dyDescent="0.3">
      <c r="A15" s="70" t="s">
        <v>370</v>
      </c>
      <c r="B15" s="74" t="s">
        <v>371</v>
      </c>
      <c r="C15" s="189">
        <v>0.125</v>
      </c>
      <c r="D15" s="74"/>
      <c r="E15" s="73"/>
      <c r="F15" s="73"/>
    </row>
    <row r="16" spans="1:9" x14ac:dyDescent="0.3">
      <c r="A16" s="70" t="s">
        <v>372</v>
      </c>
      <c r="B16" s="74" t="s">
        <v>371</v>
      </c>
      <c r="C16" s="190">
        <v>0.3</v>
      </c>
      <c r="D16" s="74"/>
      <c r="E16" s="73"/>
      <c r="F16" s="73"/>
    </row>
    <row r="17" spans="1:6" x14ac:dyDescent="0.3">
      <c r="A17" s="70" t="s">
        <v>373</v>
      </c>
      <c r="B17" s="74" t="s">
        <v>374</v>
      </c>
      <c r="C17" s="191">
        <v>5</v>
      </c>
      <c r="D17" s="74"/>
      <c r="E17" s="73"/>
      <c r="F17" s="73"/>
    </row>
    <row r="18" spans="1:6" ht="11.5" customHeight="1" x14ac:dyDescent="0.3">
      <c r="A18" s="70" t="s">
        <v>375</v>
      </c>
      <c r="B18" s="74" t="s">
        <v>14</v>
      </c>
      <c r="C18" s="125">
        <f>C10*(1-C16)</f>
        <v>144146.79999999999</v>
      </c>
      <c r="D18" s="100"/>
      <c r="E18" s="73"/>
      <c r="F18" s="73"/>
    </row>
    <row r="19" spans="1:6" x14ac:dyDescent="0.3">
      <c r="A19" s="70" t="s">
        <v>376</v>
      </c>
      <c r="B19" s="74" t="s">
        <v>14</v>
      </c>
      <c r="C19" s="150">
        <f>C10*C16</f>
        <v>61777.2</v>
      </c>
      <c r="D19" s="99"/>
      <c r="E19" s="73"/>
      <c r="F19" s="73"/>
    </row>
    <row r="20" spans="1:6" x14ac:dyDescent="0.3">
      <c r="A20" s="70" t="s">
        <v>377</v>
      </c>
      <c r="B20" s="74" t="s">
        <v>14</v>
      </c>
      <c r="C20" s="125">
        <f>C10*(1-C16)*C15</f>
        <v>18018.349999999999</v>
      </c>
      <c r="D20" s="99"/>
      <c r="E20" s="73"/>
      <c r="F20" s="73"/>
    </row>
    <row r="21" spans="1:6" x14ac:dyDescent="0.3">
      <c r="A21" s="84" t="s">
        <v>378</v>
      </c>
      <c r="B21" s="74" t="s">
        <v>14</v>
      </c>
      <c r="C21" s="178">
        <f>-PMT(C15,5,C18)</f>
        <v>40484.210994634901</v>
      </c>
      <c r="D21" s="99"/>
      <c r="E21" s="73"/>
      <c r="F21" s="73"/>
    </row>
    <row r="22" spans="1:6" x14ac:dyDescent="0.3">
      <c r="A22" s="84" t="s">
        <v>389</v>
      </c>
      <c r="B22" s="74" t="s">
        <v>14</v>
      </c>
      <c r="C22" s="179">
        <f>C21*SUM(C97:C101)+C19</f>
        <v>215244.21140840201</v>
      </c>
      <c r="D22" s="74"/>
      <c r="E22" s="73"/>
      <c r="F22" s="73"/>
    </row>
    <row r="23" spans="1:6" x14ac:dyDescent="0.3">
      <c r="A23" s="70" t="s">
        <v>432</v>
      </c>
      <c r="B23" s="74" t="s">
        <v>416</v>
      </c>
      <c r="C23" s="82">
        <v>9986</v>
      </c>
      <c r="D23" s="74"/>
      <c r="E23" s="73"/>
      <c r="F23" s="73"/>
    </row>
    <row r="24" spans="1:6" x14ac:dyDescent="0.3">
      <c r="A24" s="84" t="s">
        <v>433</v>
      </c>
      <c r="B24" s="80" t="s">
        <v>415</v>
      </c>
      <c r="C24" s="242">
        <v>7</v>
      </c>
      <c r="D24" s="74"/>
      <c r="E24" s="73"/>
      <c r="F24" s="73"/>
    </row>
    <row r="25" spans="1:6" x14ac:dyDescent="0.3">
      <c r="A25" s="80" t="s">
        <v>446</v>
      </c>
      <c r="B25" s="80" t="s">
        <v>421</v>
      </c>
      <c r="C25" s="137">
        <v>0.17</v>
      </c>
      <c r="D25" s="74"/>
      <c r="E25" s="73"/>
      <c r="F25" s="73"/>
    </row>
    <row r="26" spans="1:6" x14ac:dyDescent="0.3">
      <c r="A26" s="84"/>
      <c r="B26" s="74"/>
      <c r="C26" s="179"/>
      <c r="D26" s="74"/>
      <c r="E26" s="73"/>
      <c r="F26" s="73"/>
    </row>
    <row r="27" spans="1:6" x14ac:dyDescent="0.3">
      <c r="A27" s="171" t="s">
        <v>4</v>
      </c>
      <c r="B27" s="171"/>
      <c r="C27" s="171"/>
      <c r="D27" s="171"/>
      <c r="E27" s="171"/>
      <c r="F27" s="171"/>
    </row>
    <row r="28" spans="1:6" x14ac:dyDescent="0.3">
      <c r="A28" s="70" t="s">
        <v>353</v>
      </c>
      <c r="B28" s="74" t="s">
        <v>118</v>
      </c>
      <c r="C28" s="143">
        <v>0.1</v>
      </c>
      <c r="D28" s="74" t="s">
        <v>195</v>
      </c>
      <c r="E28" s="73"/>
      <c r="F28" s="73" t="s">
        <v>191</v>
      </c>
    </row>
    <row r="29" spans="1:6" x14ac:dyDescent="0.3">
      <c r="A29" s="70" t="s">
        <v>263</v>
      </c>
      <c r="B29" s="74" t="s">
        <v>262</v>
      </c>
      <c r="C29" s="162">
        <v>2200</v>
      </c>
      <c r="D29" s="74"/>
      <c r="E29" s="73"/>
      <c r="F29" s="80"/>
    </row>
    <row r="30" spans="1:6" x14ac:dyDescent="0.3">
      <c r="A30" s="70" t="s">
        <v>10</v>
      </c>
      <c r="B30" s="74" t="s">
        <v>11</v>
      </c>
      <c r="C30" s="194">
        <f>C29/C45</f>
        <v>7.5342465753424657</v>
      </c>
      <c r="D30" s="80"/>
      <c r="E30" s="73"/>
      <c r="F30" s="80"/>
    </row>
    <row r="31" spans="1:6" x14ac:dyDescent="0.3">
      <c r="A31" s="70" t="s">
        <v>434</v>
      </c>
      <c r="B31" s="74" t="s">
        <v>435</v>
      </c>
      <c r="C31" s="244">
        <v>57</v>
      </c>
      <c r="D31" s="80"/>
      <c r="E31" s="73"/>
      <c r="F31" s="80"/>
    </row>
    <row r="32" spans="1:6" x14ac:dyDescent="0.3">
      <c r="A32" s="80" t="s">
        <v>447</v>
      </c>
      <c r="B32" s="80" t="s">
        <v>421</v>
      </c>
      <c r="C32" s="137">
        <v>0.05</v>
      </c>
      <c r="D32" s="80"/>
      <c r="E32" s="73"/>
      <c r="F32" s="80"/>
    </row>
    <row r="33" spans="1:6" x14ac:dyDescent="0.3">
      <c r="A33" s="80" t="s">
        <v>480</v>
      </c>
      <c r="B33" s="80" t="s">
        <v>453</v>
      </c>
      <c r="C33" s="245">
        <v>2</v>
      </c>
      <c r="D33" s="80"/>
      <c r="E33" s="73"/>
      <c r="F33" s="80"/>
    </row>
    <row r="34" spans="1:6" x14ac:dyDescent="0.3">
      <c r="A34" s="70"/>
      <c r="B34" s="74"/>
      <c r="C34" s="177"/>
      <c r="D34" s="74"/>
      <c r="E34" s="73"/>
      <c r="F34" s="80"/>
    </row>
    <row r="35" spans="1:6" x14ac:dyDescent="0.3">
      <c r="A35" s="171" t="s">
        <v>379</v>
      </c>
      <c r="B35" s="171"/>
      <c r="C35" s="171"/>
      <c r="D35" s="171"/>
      <c r="E35" s="171"/>
      <c r="F35" s="171"/>
    </row>
    <row r="36" spans="1:6" x14ac:dyDescent="0.3">
      <c r="A36" s="70" t="s">
        <v>248</v>
      </c>
      <c r="B36" s="74" t="s">
        <v>19</v>
      </c>
      <c r="C36" s="191">
        <v>4200</v>
      </c>
      <c r="D36" s="73" t="s">
        <v>249</v>
      </c>
      <c r="E36" s="73"/>
      <c r="F36" s="73"/>
    </row>
    <row r="37" spans="1:6" x14ac:dyDescent="0.3">
      <c r="A37" s="70" t="s">
        <v>214</v>
      </c>
      <c r="B37" s="74" t="s">
        <v>14</v>
      </c>
      <c r="C37" s="191">
        <v>10000</v>
      </c>
      <c r="D37" s="73"/>
      <c r="E37" s="73"/>
      <c r="F37" s="73"/>
    </row>
    <row r="38" spans="1:6" x14ac:dyDescent="0.3">
      <c r="A38" s="70" t="s">
        <v>213</v>
      </c>
      <c r="B38" s="74" t="s">
        <v>118</v>
      </c>
      <c r="C38" s="190">
        <v>0.2</v>
      </c>
      <c r="D38" s="73"/>
      <c r="E38" s="73"/>
      <c r="F38" s="73"/>
    </row>
    <row r="39" spans="1:6" x14ac:dyDescent="0.3">
      <c r="A39" s="70" t="s">
        <v>215</v>
      </c>
      <c r="B39" s="74" t="s">
        <v>129</v>
      </c>
      <c r="C39" s="195">
        <f>C37*(1+C38)</f>
        <v>12000</v>
      </c>
      <c r="D39" s="73"/>
      <c r="E39" s="73"/>
      <c r="F39" s="73"/>
    </row>
    <row r="40" spans="1:6" x14ac:dyDescent="0.3">
      <c r="A40" s="70" t="s">
        <v>380</v>
      </c>
      <c r="B40" s="74" t="s">
        <v>19</v>
      </c>
      <c r="C40" s="196">
        <f>C175*C46</f>
        <v>41469.839999999997</v>
      </c>
      <c r="D40" s="73"/>
      <c r="E40" s="73"/>
      <c r="F40" s="73"/>
    </row>
    <row r="41" spans="1:6" x14ac:dyDescent="0.3">
      <c r="A41" s="70"/>
      <c r="B41" s="74"/>
      <c r="C41" s="177"/>
      <c r="D41" s="74"/>
      <c r="E41" s="73"/>
      <c r="F41" s="80"/>
    </row>
    <row r="42" spans="1:6" x14ac:dyDescent="0.3">
      <c r="A42" s="171" t="s">
        <v>383</v>
      </c>
      <c r="B42" s="171"/>
      <c r="C42" s="171"/>
      <c r="D42" s="171"/>
      <c r="E42" s="171"/>
      <c r="F42" s="171"/>
    </row>
    <row r="43" spans="1:6" ht="24" x14ac:dyDescent="0.3">
      <c r="A43" s="70" t="s">
        <v>318</v>
      </c>
      <c r="B43" s="74" t="s">
        <v>23</v>
      </c>
      <c r="C43" s="162">
        <v>240</v>
      </c>
      <c r="D43" s="74"/>
      <c r="E43" s="73" t="s">
        <v>24</v>
      </c>
      <c r="F43" s="73"/>
    </row>
    <row r="44" spans="1:6" ht="24" x14ac:dyDescent="0.3">
      <c r="A44" s="70" t="s">
        <v>319</v>
      </c>
      <c r="B44" s="74" t="s">
        <v>23</v>
      </c>
      <c r="C44" s="162">
        <f>C43/7*3</f>
        <v>102.85714285714286</v>
      </c>
      <c r="D44" s="74" t="s">
        <v>192</v>
      </c>
      <c r="E44" s="73"/>
      <c r="F44" s="73" t="s">
        <v>155</v>
      </c>
    </row>
    <row r="45" spans="1:6" ht="24" x14ac:dyDescent="0.3">
      <c r="A45" s="70" t="s">
        <v>25</v>
      </c>
      <c r="B45" s="74" t="s">
        <v>26</v>
      </c>
      <c r="C45" s="162">
        <v>292</v>
      </c>
      <c r="D45" s="74" t="s">
        <v>9</v>
      </c>
      <c r="E45" s="73" t="s">
        <v>27</v>
      </c>
      <c r="F45" s="80"/>
    </row>
    <row r="46" spans="1:6" x14ac:dyDescent="0.3">
      <c r="A46" s="70" t="s">
        <v>317</v>
      </c>
      <c r="B46" s="74" t="s">
        <v>118</v>
      </c>
      <c r="C46" s="191">
        <v>1</v>
      </c>
      <c r="D46" s="74"/>
      <c r="E46" s="73"/>
      <c r="F46" s="73"/>
    </row>
    <row r="47" spans="1:6" x14ac:dyDescent="0.3">
      <c r="A47" s="70" t="s">
        <v>381</v>
      </c>
      <c r="B47" s="74" t="s">
        <v>382</v>
      </c>
      <c r="C47" s="125">
        <f>MAX(1,(ROUNDUP(((C43+C44)*C46)/(C8/C51),0)))</f>
        <v>1</v>
      </c>
      <c r="D47" s="74"/>
      <c r="E47" s="73"/>
      <c r="F47" s="73"/>
    </row>
    <row r="48" spans="1:6" x14ac:dyDescent="0.3">
      <c r="A48" s="70" t="s">
        <v>221</v>
      </c>
      <c r="B48" s="74" t="s">
        <v>222</v>
      </c>
      <c r="C48" s="197">
        <v>1.4E-2</v>
      </c>
      <c r="D48" s="74"/>
      <c r="E48" s="73"/>
      <c r="F48" s="80"/>
    </row>
    <row r="49" spans="1:6" ht="24" x14ac:dyDescent="0.3">
      <c r="A49" s="70" t="s">
        <v>196</v>
      </c>
      <c r="B49" s="74" t="s">
        <v>118</v>
      </c>
      <c r="C49" s="190">
        <v>0.25</v>
      </c>
      <c r="D49" s="74" t="s">
        <v>265</v>
      </c>
      <c r="E49" s="73"/>
      <c r="F49" s="73" t="s">
        <v>208</v>
      </c>
    </row>
    <row r="50" spans="1:6" ht="24" x14ac:dyDescent="0.3">
      <c r="A50" s="70" t="s">
        <v>395</v>
      </c>
      <c r="B50" s="74" t="s">
        <v>118</v>
      </c>
      <c r="C50" s="143">
        <v>0.8</v>
      </c>
      <c r="D50" s="74" t="s">
        <v>485</v>
      </c>
      <c r="E50" s="73" t="s">
        <v>70</v>
      </c>
      <c r="F50" s="80"/>
    </row>
    <row r="51" spans="1:6" ht="24" x14ac:dyDescent="0.3">
      <c r="A51" s="70" t="s">
        <v>158</v>
      </c>
      <c r="B51" s="74" t="s">
        <v>145</v>
      </c>
      <c r="C51" s="161">
        <v>1.37</v>
      </c>
      <c r="D51" s="74" t="s">
        <v>254</v>
      </c>
      <c r="E51" s="73" t="s">
        <v>85</v>
      </c>
      <c r="F51" s="80"/>
    </row>
    <row r="52" spans="1:6" ht="24" x14ac:dyDescent="0.3">
      <c r="A52" s="70" t="s">
        <v>160</v>
      </c>
      <c r="B52" s="74" t="s">
        <v>145</v>
      </c>
      <c r="C52" s="180">
        <f>C51*(1+C48)</f>
        <v>1.3891800000000001</v>
      </c>
      <c r="D52" s="74"/>
      <c r="E52" s="73"/>
      <c r="F52" s="73" t="s">
        <v>101</v>
      </c>
    </row>
    <row r="53" spans="1:6" x14ac:dyDescent="0.3">
      <c r="A53" s="70" t="s">
        <v>161</v>
      </c>
      <c r="B53" s="74" t="s">
        <v>145</v>
      </c>
      <c r="C53" s="180">
        <f>C52*(1+C48)</f>
        <v>1.4086285200000002</v>
      </c>
      <c r="D53" s="74"/>
      <c r="E53" s="73"/>
      <c r="F53" s="80"/>
    </row>
    <row r="54" spans="1:6" ht="24" x14ac:dyDescent="0.3">
      <c r="A54" s="70" t="s">
        <v>162</v>
      </c>
      <c r="B54" s="74" t="s">
        <v>145</v>
      </c>
      <c r="C54" s="180">
        <f>C53*(1+C48)</f>
        <v>1.4283493192800001</v>
      </c>
      <c r="D54" s="74"/>
      <c r="E54" s="73"/>
      <c r="F54" s="80"/>
    </row>
    <row r="55" spans="1:6" x14ac:dyDescent="0.3">
      <c r="A55" s="70" t="s">
        <v>163</v>
      </c>
      <c r="B55" s="74" t="s">
        <v>145</v>
      </c>
      <c r="C55" s="180">
        <f>C54*(1+C48)</f>
        <v>1.44834620974992</v>
      </c>
      <c r="D55" s="74"/>
      <c r="E55" s="73"/>
      <c r="F55" s="80"/>
    </row>
    <row r="56" spans="1:6" x14ac:dyDescent="0.3">
      <c r="A56" s="70" t="s">
        <v>159</v>
      </c>
      <c r="B56" s="74" t="s">
        <v>145</v>
      </c>
      <c r="C56" s="175">
        <f>C51*(1-C49)</f>
        <v>1.0275000000000001</v>
      </c>
      <c r="D56" s="80"/>
      <c r="E56" s="73"/>
      <c r="F56" s="80"/>
    </row>
    <row r="57" spans="1:6" x14ac:dyDescent="0.3">
      <c r="A57" s="70" t="s">
        <v>164</v>
      </c>
      <c r="B57" s="74" t="s">
        <v>145</v>
      </c>
      <c r="C57" s="175">
        <f>C52*(1-C49)</f>
        <v>1.0418850000000002</v>
      </c>
      <c r="D57" s="80"/>
      <c r="E57" s="73"/>
      <c r="F57" s="80"/>
    </row>
    <row r="58" spans="1:6" x14ac:dyDescent="0.3">
      <c r="A58" s="70" t="s">
        <v>165</v>
      </c>
      <c r="B58" s="74" t="s">
        <v>145</v>
      </c>
      <c r="C58" s="175">
        <f>C53*(1-C49)</f>
        <v>1.05647139</v>
      </c>
      <c r="D58" s="80"/>
      <c r="E58" s="73"/>
      <c r="F58" s="80"/>
    </row>
    <row r="59" spans="1:6" x14ac:dyDescent="0.3">
      <c r="A59" s="70" t="s">
        <v>166</v>
      </c>
      <c r="B59" s="74" t="s">
        <v>145</v>
      </c>
      <c r="C59" s="175">
        <f>C54*(1-C49)</f>
        <v>1.07126198946</v>
      </c>
      <c r="D59" s="80"/>
      <c r="E59" s="73"/>
      <c r="F59" s="80"/>
    </row>
    <row r="60" spans="1:6" x14ac:dyDescent="0.3">
      <c r="A60" s="70" t="s">
        <v>167</v>
      </c>
      <c r="B60" s="74" t="s">
        <v>145</v>
      </c>
      <c r="C60" s="175">
        <f>C55*(1-C49)</f>
        <v>1.0862596573124401</v>
      </c>
      <c r="D60" s="80"/>
      <c r="E60" s="73"/>
      <c r="F60" s="80"/>
    </row>
    <row r="61" spans="1:6" x14ac:dyDescent="0.3">
      <c r="A61" s="70" t="s">
        <v>96</v>
      </c>
      <c r="B61" s="74" t="s">
        <v>5</v>
      </c>
      <c r="C61" s="78">
        <f>(C$43*C$46*C51+C$44*C$46*C56)</f>
        <v>434.48571428571432</v>
      </c>
      <c r="D61" s="74"/>
      <c r="E61" s="73"/>
      <c r="F61" s="73"/>
    </row>
    <row r="62" spans="1:6" x14ac:dyDescent="0.3">
      <c r="A62" s="70" t="s">
        <v>97</v>
      </c>
      <c r="B62" s="74" t="s">
        <v>5</v>
      </c>
      <c r="C62" s="78">
        <f t="shared" ref="C62:C65" si="0">(C$43*C$46*C52+C$44*C$46*C57)</f>
        <v>440.56851428571434</v>
      </c>
      <c r="D62" s="74"/>
      <c r="E62" s="73"/>
      <c r="F62" s="73"/>
    </row>
    <row r="63" spans="1:6" x14ac:dyDescent="0.3">
      <c r="A63" s="70" t="s">
        <v>98</v>
      </c>
      <c r="B63" s="74" t="s">
        <v>5</v>
      </c>
      <c r="C63" s="78">
        <f t="shared" si="0"/>
        <v>446.73647348571433</v>
      </c>
      <c r="D63" s="74"/>
      <c r="E63" s="73"/>
      <c r="F63" s="73"/>
    </row>
    <row r="64" spans="1:6" x14ac:dyDescent="0.3">
      <c r="A64" s="70" t="s">
        <v>99</v>
      </c>
      <c r="B64" s="74" t="s">
        <v>5</v>
      </c>
      <c r="C64" s="78">
        <f t="shared" si="0"/>
        <v>452.99078411451433</v>
      </c>
      <c r="D64" s="74"/>
      <c r="E64" s="73"/>
      <c r="F64" s="73"/>
    </row>
    <row r="65" spans="1:6" x14ac:dyDescent="0.3">
      <c r="A65" s="70" t="s">
        <v>100</v>
      </c>
      <c r="B65" s="74" t="s">
        <v>5</v>
      </c>
      <c r="C65" s="78">
        <f t="shared" si="0"/>
        <v>459.33265509211748</v>
      </c>
      <c r="D65" s="74"/>
      <c r="E65" s="73"/>
      <c r="F65" s="73"/>
    </row>
    <row r="66" spans="1:6" x14ac:dyDescent="0.3">
      <c r="A66" s="70" t="s">
        <v>444</v>
      </c>
      <c r="B66" s="74" t="s">
        <v>445</v>
      </c>
      <c r="C66" s="188">
        <v>0.19600000000000001</v>
      </c>
      <c r="D66" s="74"/>
      <c r="E66" s="73"/>
      <c r="F66" s="73"/>
    </row>
    <row r="67" spans="1:6" x14ac:dyDescent="0.3">
      <c r="A67" s="70"/>
      <c r="B67" s="74"/>
      <c r="C67" s="180"/>
      <c r="D67" s="74"/>
      <c r="E67" s="73"/>
      <c r="F67" s="73"/>
    </row>
    <row r="68" spans="1:6" x14ac:dyDescent="0.3">
      <c r="A68" s="171" t="s">
        <v>84</v>
      </c>
      <c r="B68" s="171"/>
      <c r="C68" s="171"/>
      <c r="D68" s="171"/>
      <c r="E68" s="171"/>
      <c r="F68" s="171"/>
    </row>
    <row r="69" spans="1:6" ht="24" x14ac:dyDescent="0.3">
      <c r="A69" s="70" t="s">
        <v>61</v>
      </c>
      <c r="B69" s="74" t="s">
        <v>7</v>
      </c>
      <c r="C69" s="161">
        <v>0.12</v>
      </c>
      <c r="D69" s="74" t="s">
        <v>9</v>
      </c>
      <c r="E69" s="73" t="s">
        <v>86</v>
      </c>
      <c r="F69" s="80"/>
    </row>
    <row r="70" spans="1:6" ht="24" x14ac:dyDescent="0.3">
      <c r="A70" s="70" t="s">
        <v>62</v>
      </c>
      <c r="B70" s="74" t="s">
        <v>11</v>
      </c>
      <c r="C70" s="162">
        <v>8</v>
      </c>
      <c r="D70" s="74" t="s">
        <v>9</v>
      </c>
      <c r="E70" s="73" t="s">
        <v>63</v>
      </c>
      <c r="F70" s="80"/>
    </row>
    <row r="71" spans="1:6" ht="24" x14ac:dyDescent="0.3">
      <c r="A71" s="70" t="s">
        <v>34</v>
      </c>
      <c r="B71" s="74" t="s">
        <v>7</v>
      </c>
      <c r="C71" s="161">
        <v>0.08</v>
      </c>
      <c r="D71" s="74" t="s">
        <v>9</v>
      </c>
      <c r="E71" s="73" t="s">
        <v>35</v>
      </c>
      <c r="F71" s="80"/>
    </row>
    <row r="72" spans="1:6" ht="24" x14ac:dyDescent="0.3">
      <c r="A72" s="70" t="s">
        <v>64</v>
      </c>
      <c r="B72" s="74" t="s">
        <v>11</v>
      </c>
      <c r="C72" s="162">
        <v>24</v>
      </c>
      <c r="D72" s="74" t="s">
        <v>9</v>
      </c>
      <c r="E72" s="73" t="s">
        <v>65</v>
      </c>
      <c r="F72" s="80"/>
    </row>
    <row r="73" spans="1:6" x14ac:dyDescent="0.3">
      <c r="A73" s="70"/>
      <c r="B73" s="74"/>
      <c r="C73" s="180"/>
      <c r="D73" s="74"/>
      <c r="E73" s="73"/>
      <c r="F73" s="73"/>
    </row>
    <row r="74" spans="1:6" x14ac:dyDescent="0.3">
      <c r="A74" s="171" t="s">
        <v>66</v>
      </c>
      <c r="B74" s="171"/>
      <c r="C74" s="171"/>
      <c r="D74" s="171"/>
      <c r="E74" s="171"/>
      <c r="F74" s="171"/>
    </row>
    <row r="75" spans="1:6" ht="24" x14ac:dyDescent="0.3">
      <c r="A75" s="70" t="s">
        <v>267</v>
      </c>
      <c r="B75" s="74" t="s">
        <v>7</v>
      </c>
      <c r="C75" s="161">
        <v>0.22</v>
      </c>
      <c r="D75" s="74" t="s">
        <v>9</v>
      </c>
      <c r="E75" s="73" t="s">
        <v>72</v>
      </c>
      <c r="F75" s="80"/>
    </row>
    <row r="76" spans="1:6" ht="24" x14ac:dyDescent="0.3">
      <c r="A76" s="70" t="s">
        <v>264</v>
      </c>
      <c r="B76" s="74" t="s">
        <v>7</v>
      </c>
      <c r="C76" s="161">
        <v>0.39</v>
      </c>
      <c r="D76" s="74" t="s">
        <v>9</v>
      </c>
      <c r="E76" s="73" t="s">
        <v>74</v>
      </c>
      <c r="F76" s="80"/>
    </row>
    <row r="77" spans="1:6" ht="24" x14ac:dyDescent="0.3">
      <c r="A77" s="70" t="s">
        <v>67</v>
      </c>
      <c r="B77" s="74" t="s">
        <v>68</v>
      </c>
      <c r="C77" s="162">
        <v>51</v>
      </c>
      <c r="D77" s="74" t="s">
        <v>9</v>
      </c>
      <c r="E77" s="73" t="s">
        <v>69</v>
      </c>
      <c r="F77" s="80"/>
    </row>
    <row r="78" spans="1:6" x14ac:dyDescent="0.3">
      <c r="A78" s="70" t="s">
        <v>168</v>
      </c>
      <c r="B78" s="74" t="s">
        <v>83</v>
      </c>
      <c r="C78" s="180">
        <f>C61*C47*C77*C45</f>
        <v>6470361.2571428586</v>
      </c>
      <c r="D78" s="74"/>
      <c r="E78" s="73"/>
      <c r="F78" s="80"/>
    </row>
    <row r="79" spans="1:6" x14ac:dyDescent="0.3">
      <c r="A79" s="70" t="s">
        <v>169</v>
      </c>
      <c r="B79" s="74" t="s">
        <v>83</v>
      </c>
      <c r="C79" s="180">
        <f>C62*C47*C77*C45</f>
        <v>6560946.3147428576</v>
      </c>
      <c r="D79" s="74"/>
      <c r="E79" s="73"/>
      <c r="F79" s="80"/>
    </row>
    <row r="80" spans="1:6" x14ac:dyDescent="0.3">
      <c r="A80" s="70" t="s">
        <v>170</v>
      </c>
      <c r="B80" s="74" t="s">
        <v>83</v>
      </c>
      <c r="C80" s="180">
        <f>C63*C47*C77*C45</f>
        <v>6652799.5631492576</v>
      </c>
      <c r="D80" s="74"/>
      <c r="E80" s="73"/>
      <c r="F80" s="80"/>
    </row>
    <row r="81" spans="1:6" x14ac:dyDescent="0.3">
      <c r="A81" s="70" t="s">
        <v>171</v>
      </c>
      <c r="B81" s="74" t="s">
        <v>83</v>
      </c>
      <c r="C81" s="180">
        <f>C64*C47*C77*C45</f>
        <v>6745938.7570333472</v>
      </c>
      <c r="D81" s="74"/>
      <c r="E81" s="73"/>
      <c r="F81" s="80"/>
    </row>
    <row r="82" spans="1:6" x14ac:dyDescent="0.3">
      <c r="A82" s="70" t="s">
        <v>172</v>
      </c>
      <c r="B82" s="74" t="s">
        <v>83</v>
      </c>
      <c r="C82" s="180">
        <f>C65*C47*C77*C45</f>
        <v>6840381.8996318132</v>
      </c>
      <c r="D82" s="74"/>
      <c r="E82" s="73"/>
      <c r="F82" s="80"/>
    </row>
    <row r="83" spans="1:6" ht="36" x14ac:dyDescent="0.3">
      <c r="A83" s="70" t="s">
        <v>174</v>
      </c>
      <c r="B83" s="74" t="s">
        <v>83</v>
      </c>
      <c r="C83" s="180">
        <f>C50*C78</f>
        <v>5176289.0057142871</v>
      </c>
      <c r="D83" s="74"/>
      <c r="E83" s="73" t="s">
        <v>71</v>
      </c>
      <c r="F83" s="80"/>
    </row>
    <row r="84" spans="1:6" x14ac:dyDescent="0.3">
      <c r="A84" s="70" t="s">
        <v>173</v>
      </c>
      <c r="B84" s="74" t="s">
        <v>83</v>
      </c>
      <c r="C84" s="180">
        <f>C50*C79</f>
        <v>5248757.0517942868</v>
      </c>
      <c r="D84" s="74"/>
      <c r="E84" s="73"/>
      <c r="F84" s="80"/>
    </row>
    <row r="85" spans="1:6" x14ac:dyDescent="0.3">
      <c r="A85" s="70" t="s">
        <v>175</v>
      </c>
      <c r="B85" s="74" t="s">
        <v>83</v>
      </c>
      <c r="C85" s="180">
        <f>C50*C80</f>
        <v>5322239.6505194064</v>
      </c>
      <c r="D85" s="74"/>
      <c r="E85" s="73"/>
      <c r="F85" s="80"/>
    </row>
    <row r="86" spans="1:6" x14ac:dyDescent="0.3">
      <c r="A86" s="70" t="s">
        <v>176</v>
      </c>
      <c r="B86" s="74" t="s">
        <v>83</v>
      </c>
      <c r="C86" s="180">
        <f>C50*C81</f>
        <v>5396751.0056266785</v>
      </c>
      <c r="D86" s="74"/>
      <c r="E86" s="73"/>
      <c r="F86" s="80"/>
    </row>
    <row r="87" spans="1:6" x14ac:dyDescent="0.3">
      <c r="A87" s="70" t="s">
        <v>177</v>
      </c>
      <c r="B87" s="74" t="s">
        <v>83</v>
      </c>
      <c r="C87" s="180">
        <f>C50*C82</f>
        <v>5472305.5197054511</v>
      </c>
      <c r="D87" s="74"/>
      <c r="E87" s="73"/>
      <c r="F87" s="80"/>
    </row>
    <row r="88" spans="1:6" ht="36" x14ac:dyDescent="0.3">
      <c r="A88" s="70" t="s">
        <v>178</v>
      </c>
      <c r="B88" s="74" t="s">
        <v>83</v>
      </c>
      <c r="C88" s="180">
        <f>C78*(1-C50)</f>
        <v>1294072.2514285715</v>
      </c>
      <c r="D88" s="74"/>
      <c r="E88" s="73" t="s">
        <v>73</v>
      </c>
      <c r="F88" s="80"/>
    </row>
    <row r="89" spans="1:6" x14ac:dyDescent="0.3">
      <c r="A89" s="70" t="s">
        <v>179</v>
      </c>
      <c r="B89" s="74" t="s">
        <v>83</v>
      </c>
      <c r="C89" s="180">
        <f>C79*(1-C50)</f>
        <v>1312189.2629485712</v>
      </c>
      <c r="D89" s="74"/>
      <c r="E89" s="73"/>
      <c r="F89" s="80"/>
    </row>
    <row r="90" spans="1:6" x14ac:dyDescent="0.3">
      <c r="A90" s="70" t="s">
        <v>180</v>
      </c>
      <c r="B90" s="74" t="s">
        <v>83</v>
      </c>
      <c r="C90" s="180">
        <f>C80*(1-C50)</f>
        <v>1330559.9126298511</v>
      </c>
      <c r="D90" s="74"/>
      <c r="E90" s="73"/>
      <c r="F90" s="80"/>
    </row>
    <row r="91" spans="1:6" x14ac:dyDescent="0.3">
      <c r="A91" s="70" t="s">
        <v>181</v>
      </c>
      <c r="B91" s="74" t="s">
        <v>83</v>
      </c>
      <c r="C91" s="180">
        <f>C81*(1-C50)</f>
        <v>1349187.7514066692</v>
      </c>
      <c r="D91" s="74"/>
      <c r="E91" s="73"/>
      <c r="F91" s="80"/>
    </row>
    <row r="92" spans="1:6" x14ac:dyDescent="0.3">
      <c r="A92" s="70" t="s">
        <v>182</v>
      </c>
      <c r="B92" s="74" t="s">
        <v>83</v>
      </c>
      <c r="C92" s="180">
        <f>C82*(1-C50)</f>
        <v>1368076.3799263623</v>
      </c>
      <c r="D92" s="74"/>
      <c r="E92" s="73"/>
      <c r="F92" s="80"/>
    </row>
    <row r="93" spans="1:6" x14ac:dyDescent="0.3">
      <c r="A93" s="70"/>
      <c r="B93" s="74"/>
      <c r="C93" s="180"/>
      <c r="D93" s="74"/>
      <c r="E93" s="73"/>
      <c r="F93" s="80"/>
    </row>
    <row r="94" spans="1:6" x14ac:dyDescent="0.3">
      <c r="A94" s="171" t="s">
        <v>152</v>
      </c>
      <c r="B94" s="171"/>
      <c r="C94" s="171"/>
      <c r="D94" s="171"/>
      <c r="E94" s="171"/>
      <c r="F94" s="171"/>
    </row>
    <row r="95" spans="1:6" x14ac:dyDescent="0.3">
      <c r="A95" s="84" t="s">
        <v>151</v>
      </c>
      <c r="B95" s="80" t="s">
        <v>118</v>
      </c>
      <c r="C95" s="198">
        <v>0.1</v>
      </c>
      <c r="D95" s="80" t="s">
        <v>188</v>
      </c>
      <c r="E95" s="73"/>
      <c r="F95" s="73"/>
    </row>
    <row r="96" spans="1:6" x14ac:dyDescent="0.3">
      <c r="A96" s="84" t="s">
        <v>153</v>
      </c>
      <c r="B96" s="80"/>
      <c r="C96" s="181"/>
      <c r="D96" s="80"/>
      <c r="E96" s="73"/>
      <c r="F96" s="73"/>
    </row>
    <row r="97" spans="1:12" x14ac:dyDescent="0.3">
      <c r="A97" s="84" t="s">
        <v>146</v>
      </c>
      <c r="B97" s="80" t="s">
        <v>118</v>
      </c>
      <c r="C97" s="182">
        <f>1/(1+C95)^1</f>
        <v>0.90909090909090906</v>
      </c>
      <c r="D97" s="80"/>
      <c r="E97" s="73"/>
      <c r="F97" s="73"/>
    </row>
    <row r="98" spans="1:12" x14ac:dyDescent="0.3">
      <c r="A98" s="84" t="s">
        <v>147</v>
      </c>
      <c r="B98" s="80" t="s">
        <v>118</v>
      </c>
      <c r="C98" s="182">
        <f>1/(1+C95)^2</f>
        <v>0.82644628099173545</v>
      </c>
      <c r="D98" s="80"/>
      <c r="E98" s="73"/>
      <c r="F98" s="73"/>
    </row>
    <row r="99" spans="1:12" x14ac:dyDescent="0.3">
      <c r="A99" s="84" t="s">
        <v>148</v>
      </c>
      <c r="B99" s="80" t="s">
        <v>118</v>
      </c>
      <c r="C99" s="182">
        <f>1/(1+C95)^3</f>
        <v>0.75131480090157754</v>
      </c>
      <c r="D99" s="80"/>
      <c r="E99" s="73"/>
      <c r="F99" s="73"/>
    </row>
    <row r="100" spans="1:12" x14ac:dyDescent="0.3">
      <c r="A100" s="84" t="s">
        <v>149</v>
      </c>
      <c r="B100" s="80" t="s">
        <v>118</v>
      </c>
      <c r="C100" s="182">
        <f>1/(1+C95)^4</f>
        <v>0.68301345536507052</v>
      </c>
      <c r="D100" s="80"/>
      <c r="E100" s="73"/>
      <c r="F100" s="73"/>
    </row>
    <row r="101" spans="1:12" x14ac:dyDescent="0.3">
      <c r="A101" s="84" t="s">
        <v>150</v>
      </c>
      <c r="B101" s="80" t="s">
        <v>118</v>
      </c>
      <c r="C101" s="182">
        <f>1/(1+C95)^5</f>
        <v>0.62092132305915493</v>
      </c>
      <c r="D101" s="80"/>
      <c r="E101" s="73"/>
      <c r="F101" s="73"/>
    </row>
    <row r="102" spans="1:12" x14ac:dyDescent="0.3">
      <c r="A102" s="171" t="s">
        <v>244</v>
      </c>
      <c r="B102" s="171"/>
      <c r="C102" s="171"/>
      <c r="D102" s="171"/>
      <c r="E102" s="171"/>
      <c r="F102" s="171"/>
    </row>
    <row r="103" spans="1:12" ht="24" x14ac:dyDescent="0.3">
      <c r="A103" s="84" t="s">
        <v>244</v>
      </c>
      <c r="B103" s="80" t="s">
        <v>14</v>
      </c>
      <c r="C103" s="183">
        <v>0</v>
      </c>
      <c r="D103" s="80" t="s">
        <v>245</v>
      </c>
      <c r="E103" s="73"/>
      <c r="F103" s="73" t="s">
        <v>246</v>
      </c>
    </row>
    <row r="104" spans="1:12" x14ac:dyDescent="0.3">
      <c r="A104" s="84"/>
      <c r="B104" s="80"/>
      <c r="C104" s="183"/>
      <c r="D104" s="80"/>
      <c r="E104" s="73"/>
      <c r="F104" s="73"/>
    </row>
    <row r="105" spans="1:12" x14ac:dyDescent="0.3">
      <c r="A105" s="46" t="s">
        <v>49</v>
      </c>
      <c r="B105" s="46"/>
      <c r="C105" s="54"/>
      <c r="D105" s="46"/>
      <c r="E105" s="55"/>
      <c r="F105" s="55"/>
      <c r="G105" s="2"/>
      <c r="H105" s="2"/>
      <c r="I105" s="2"/>
      <c r="J105" s="2"/>
      <c r="K105" s="2"/>
      <c r="L105" s="2"/>
    </row>
    <row r="106" spans="1:12" x14ac:dyDescent="0.3">
      <c r="A106" s="7" t="s">
        <v>455</v>
      </c>
      <c r="B106" s="5"/>
      <c r="C106" s="25"/>
      <c r="D106" s="5"/>
      <c r="E106" s="5"/>
      <c r="F106" s="18"/>
    </row>
    <row r="107" spans="1:12" x14ac:dyDescent="0.3">
      <c r="A107" s="84" t="s">
        <v>436</v>
      </c>
      <c r="B107" s="71" t="s">
        <v>430</v>
      </c>
      <c r="C107" s="78">
        <f>C24*C23</f>
        <v>69902</v>
      </c>
      <c r="D107" s="71"/>
      <c r="E107" s="71"/>
      <c r="F107" s="73"/>
    </row>
    <row r="108" spans="1:12" x14ac:dyDescent="0.3">
      <c r="A108" s="84" t="s">
        <v>438</v>
      </c>
      <c r="B108" s="71" t="s">
        <v>430</v>
      </c>
      <c r="C108" s="78">
        <f>C8*C31*C33</f>
        <v>58482</v>
      </c>
      <c r="D108" s="71"/>
      <c r="E108" s="71"/>
      <c r="F108" s="73"/>
    </row>
    <row r="109" spans="1:12" x14ac:dyDescent="0.3">
      <c r="A109" s="84" t="s">
        <v>437</v>
      </c>
      <c r="B109" s="71" t="s">
        <v>430</v>
      </c>
      <c r="C109" s="78">
        <f>C108+C107</f>
        <v>128384</v>
      </c>
      <c r="D109" s="71"/>
      <c r="E109" s="71"/>
      <c r="F109" s="73"/>
    </row>
    <row r="110" spans="1:12" x14ac:dyDescent="0.3">
      <c r="A110" s="84" t="s">
        <v>439</v>
      </c>
      <c r="B110" s="71" t="s">
        <v>429</v>
      </c>
      <c r="C110" s="78">
        <f>C61*C$45*C$66</f>
        <v>24866.486400000005</v>
      </c>
      <c r="D110" s="247"/>
      <c r="E110" s="71"/>
      <c r="F110" s="73"/>
    </row>
    <row r="111" spans="1:12" x14ac:dyDescent="0.3">
      <c r="A111" s="84" t="s">
        <v>440</v>
      </c>
      <c r="B111" s="71" t="s">
        <v>429</v>
      </c>
      <c r="C111" s="78">
        <f t="shared" ref="C111:C114" si="1">C62*C$45*C$66</f>
        <v>25214.617209600005</v>
      </c>
      <c r="D111" s="71"/>
      <c r="E111" s="71"/>
      <c r="F111" s="73"/>
    </row>
    <row r="112" spans="1:12" x14ac:dyDescent="0.3">
      <c r="A112" s="84" t="s">
        <v>441</v>
      </c>
      <c r="B112" s="71" t="s">
        <v>429</v>
      </c>
      <c r="C112" s="78">
        <f t="shared" si="1"/>
        <v>25567.621850534404</v>
      </c>
      <c r="D112" s="71"/>
      <c r="E112" s="71"/>
      <c r="F112" s="73"/>
    </row>
    <row r="113" spans="1:6" x14ac:dyDescent="0.3">
      <c r="A113" s="84" t="s">
        <v>442</v>
      </c>
      <c r="B113" s="71" t="s">
        <v>429</v>
      </c>
      <c r="C113" s="78">
        <f t="shared" si="1"/>
        <v>25925.568556441885</v>
      </c>
      <c r="D113" s="71"/>
      <c r="E113" s="71"/>
      <c r="F113" s="73"/>
    </row>
    <row r="114" spans="1:6" x14ac:dyDescent="0.3">
      <c r="A114" s="84" t="s">
        <v>443</v>
      </c>
      <c r="B114" s="71" t="s">
        <v>429</v>
      </c>
      <c r="C114" s="78">
        <f t="shared" si="1"/>
        <v>26288.526516232068</v>
      </c>
      <c r="D114" s="71"/>
      <c r="E114" s="71"/>
      <c r="F114" s="73"/>
    </row>
    <row r="115" spans="1:6" x14ac:dyDescent="0.3">
      <c r="A115" s="70" t="s">
        <v>454</v>
      </c>
      <c r="B115" s="71" t="s">
        <v>429</v>
      </c>
      <c r="C115" s="78">
        <f>SUM(C110:C114)*C33</f>
        <v>255725.64106561674</v>
      </c>
      <c r="D115" s="71"/>
      <c r="E115" s="71"/>
      <c r="F115" s="73"/>
    </row>
    <row r="116" spans="1:6" x14ac:dyDescent="0.3">
      <c r="A116" s="70" t="s">
        <v>448</v>
      </c>
      <c r="B116" s="71" t="s">
        <v>429</v>
      </c>
      <c r="C116" s="78">
        <f>C107*C25</f>
        <v>11883.34</v>
      </c>
      <c r="D116" s="71"/>
      <c r="E116" s="71"/>
      <c r="F116" s="73"/>
    </row>
    <row r="117" spans="1:6" x14ac:dyDescent="0.3">
      <c r="A117" s="70" t="s">
        <v>449</v>
      </c>
      <c r="B117" s="71" t="s">
        <v>429</v>
      </c>
      <c r="C117" s="78">
        <f>C108*C32</f>
        <v>2924.1000000000004</v>
      </c>
      <c r="D117" s="71"/>
      <c r="E117" s="71"/>
      <c r="F117" s="73"/>
    </row>
    <row r="118" spans="1:6" x14ac:dyDescent="0.3">
      <c r="A118" s="70" t="s">
        <v>486</v>
      </c>
      <c r="B118" s="71" t="s">
        <v>429</v>
      </c>
      <c r="C118" s="78">
        <f>SUM(C116:C117)</f>
        <v>14807.44</v>
      </c>
      <c r="D118" s="71"/>
      <c r="E118" s="71"/>
      <c r="F118" s="73"/>
    </row>
    <row r="119" spans="1:6" x14ac:dyDescent="0.3">
      <c r="A119" s="70" t="s">
        <v>456</v>
      </c>
      <c r="B119" s="71" t="s">
        <v>429</v>
      </c>
      <c r="C119" s="78">
        <f>C109+C115-C118</f>
        <v>369302.20106561674</v>
      </c>
      <c r="D119" s="71"/>
      <c r="E119" s="71"/>
      <c r="F119" s="73"/>
    </row>
    <row r="120" spans="1:6" x14ac:dyDescent="0.3">
      <c r="A120" s="70" t="s">
        <v>457</v>
      </c>
      <c r="B120" s="71" t="s">
        <v>431</v>
      </c>
      <c r="C120" s="248">
        <f>C119/((C43+C44)*C45*C123*C46*C33)</f>
        <v>0.36888062321051895</v>
      </c>
      <c r="D120" s="71"/>
      <c r="E120" s="71"/>
      <c r="F120" s="73"/>
    </row>
    <row r="121" spans="1:6" x14ac:dyDescent="0.3">
      <c r="A121" s="70"/>
      <c r="B121" s="71"/>
      <c r="C121" s="78"/>
      <c r="D121" s="71"/>
      <c r="E121" s="71"/>
      <c r="F121" s="73"/>
    </row>
    <row r="122" spans="1:6" x14ac:dyDescent="0.3">
      <c r="A122" s="167" t="s">
        <v>49</v>
      </c>
      <c r="B122" s="167"/>
      <c r="C122" s="167"/>
      <c r="D122" s="167"/>
      <c r="E122" s="167"/>
      <c r="F122" s="167"/>
    </row>
    <row r="123" spans="1:6" x14ac:dyDescent="0.3">
      <c r="A123" s="70" t="s">
        <v>384</v>
      </c>
      <c r="B123" s="71" t="s">
        <v>11</v>
      </c>
      <c r="C123" s="162">
        <v>5</v>
      </c>
      <c r="D123" s="71"/>
      <c r="E123" s="73"/>
      <c r="F123" s="80"/>
    </row>
    <row r="124" spans="1:6" x14ac:dyDescent="0.3">
      <c r="A124" s="84" t="s">
        <v>385</v>
      </c>
      <c r="B124" s="84" t="s">
        <v>14</v>
      </c>
      <c r="C124" s="86">
        <f>C22</f>
        <v>215244.21140840201</v>
      </c>
      <c r="D124" s="84"/>
      <c r="E124" s="87"/>
      <c r="F124" s="84"/>
    </row>
    <row r="125" spans="1:6" x14ac:dyDescent="0.3">
      <c r="A125" s="70" t="s">
        <v>337</v>
      </c>
      <c r="B125" s="84" t="s">
        <v>14</v>
      </c>
      <c r="C125" s="176">
        <f>(C7*(1-C11)^C123-C12*(C43+C44)*C45*C123)*C101</f>
        <v>25134.916700840429</v>
      </c>
      <c r="D125" s="71"/>
      <c r="E125" s="71"/>
      <c r="F125" s="80"/>
    </row>
    <row r="126" spans="1:6" x14ac:dyDescent="0.3">
      <c r="A126" s="84" t="s">
        <v>388</v>
      </c>
      <c r="B126" s="84" t="s">
        <v>14</v>
      </c>
      <c r="C126" s="124">
        <f>MAX((C8*C9*C28*C101),((C8*C9-(C8*C9)*(1-C28)*(C45*C123/C29))*C101))</f>
        <v>18985.703568773515</v>
      </c>
      <c r="D126" s="124"/>
      <c r="E126" s="73"/>
      <c r="F126" s="80"/>
    </row>
    <row r="127" spans="1:6" x14ac:dyDescent="0.3">
      <c r="A127" s="214" t="s">
        <v>387</v>
      </c>
      <c r="B127" s="214" t="s">
        <v>14</v>
      </c>
      <c r="C127" s="212">
        <f>C125+C126</f>
        <v>44120.620269613944</v>
      </c>
      <c r="D127" s="84"/>
      <c r="E127" s="87"/>
      <c r="F127" s="84"/>
    </row>
    <row r="128" spans="1:6" x14ac:dyDescent="0.3">
      <c r="A128" s="84" t="s">
        <v>386</v>
      </c>
      <c r="B128" s="84" t="s">
        <v>14</v>
      </c>
      <c r="C128" s="86">
        <f>((C36+C175+C39))*SUM(C97:C101)</f>
        <v>218614.06646590205</v>
      </c>
      <c r="D128" s="84"/>
      <c r="E128" s="87"/>
      <c r="F128" s="84"/>
    </row>
    <row r="129" spans="1:6" x14ac:dyDescent="0.3">
      <c r="A129" s="84"/>
      <c r="B129" s="84"/>
      <c r="C129" s="86"/>
      <c r="D129" s="84"/>
      <c r="E129" s="87"/>
      <c r="F129" s="84"/>
    </row>
    <row r="130" spans="1:6" x14ac:dyDescent="0.3">
      <c r="A130" s="171" t="s">
        <v>367</v>
      </c>
      <c r="B130" s="171"/>
      <c r="C130" s="171"/>
      <c r="D130" s="171"/>
      <c r="E130" s="171"/>
      <c r="F130" s="171"/>
    </row>
    <row r="131" spans="1:6" x14ac:dyDescent="0.3">
      <c r="A131" s="171" t="s">
        <v>400</v>
      </c>
      <c r="B131" s="171"/>
      <c r="C131" s="171"/>
      <c r="D131" s="171"/>
      <c r="E131" s="171"/>
      <c r="F131" s="171"/>
    </row>
    <row r="132" spans="1:6" x14ac:dyDescent="0.3">
      <c r="A132" s="70" t="s">
        <v>183</v>
      </c>
      <c r="B132" s="71"/>
      <c r="C132" s="176">
        <f>((C83*(C69+C71))/C77)*C97</f>
        <v>18453.793246753248</v>
      </c>
      <c r="D132" s="71"/>
      <c r="E132" s="71"/>
      <c r="F132" s="80"/>
    </row>
    <row r="133" spans="1:6" x14ac:dyDescent="0.3">
      <c r="A133" s="70" t="s">
        <v>184</v>
      </c>
      <c r="B133" s="71"/>
      <c r="C133" s="176">
        <f>(C84*(C69+C71))/C77*C98</f>
        <v>17011.042138370722</v>
      </c>
      <c r="D133" s="71"/>
      <c r="E133" s="71"/>
      <c r="F133" s="80"/>
    </row>
    <row r="134" spans="1:6" x14ac:dyDescent="0.3">
      <c r="A134" s="70" t="s">
        <v>185</v>
      </c>
      <c r="B134" s="71"/>
      <c r="C134" s="176">
        <f>(C85*(C69+C71))/C77*C99</f>
        <v>15681.087934825371</v>
      </c>
      <c r="D134" s="71"/>
      <c r="E134" s="71"/>
      <c r="F134" s="80"/>
    </row>
    <row r="135" spans="1:6" x14ac:dyDescent="0.3">
      <c r="A135" s="70" t="s">
        <v>186</v>
      </c>
      <c r="B135" s="71"/>
      <c r="C135" s="176">
        <f>(C86*(C69+C71))/C77*C100</f>
        <v>14455.111969011752</v>
      </c>
      <c r="D135" s="71"/>
      <c r="E135" s="71"/>
      <c r="F135" s="80"/>
    </row>
    <row r="136" spans="1:6" x14ac:dyDescent="0.3">
      <c r="A136" s="70" t="s">
        <v>187</v>
      </c>
      <c r="B136" s="71"/>
      <c r="C136" s="176">
        <f>(C87*(C69+C71))/C77*C101</f>
        <v>13324.985033252648</v>
      </c>
      <c r="D136" s="71"/>
      <c r="E136" s="71"/>
      <c r="F136" s="80"/>
    </row>
    <row r="137" spans="1:6" x14ac:dyDescent="0.3">
      <c r="A137" s="214" t="s">
        <v>390</v>
      </c>
      <c r="B137" s="214" t="s">
        <v>14</v>
      </c>
      <c r="C137" s="212">
        <f>SUM(C132:C136)</f>
        <v>78926.020322213735</v>
      </c>
      <c r="D137" s="84"/>
      <c r="E137" s="87"/>
      <c r="F137" s="84"/>
    </row>
    <row r="138" spans="1:6" x14ac:dyDescent="0.3">
      <c r="A138" s="171" t="s">
        <v>392</v>
      </c>
      <c r="B138" s="171"/>
      <c r="C138" s="171"/>
      <c r="D138" s="171"/>
      <c r="E138" s="171"/>
      <c r="F138" s="171"/>
    </row>
    <row r="139" spans="1:6" x14ac:dyDescent="0.3">
      <c r="A139" s="84" t="s">
        <v>130</v>
      </c>
      <c r="B139" s="84" t="s">
        <v>14</v>
      </c>
      <c r="C139" s="184">
        <f>C75*C61*C50*C45*C97</f>
        <v>20299.172571428575</v>
      </c>
      <c r="D139" s="124"/>
      <c r="E139" s="73"/>
      <c r="F139" s="80"/>
    </row>
    <row r="140" spans="1:6" x14ac:dyDescent="0.3">
      <c r="A140" s="84" t="s">
        <v>131</v>
      </c>
      <c r="B140" s="84" t="s">
        <v>129</v>
      </c>
      <c r="C140" s="184">
        <f>C76*C61*(1-C50)*C45*C97</f>
        <v>8996.2242077922074</v>
      </c>
      <c r="D140" s="185"/>
      <c r="E140" s="83"/>
      <c r="F140" s="124"/>
    </row>
    <row r="141" spans="1:6" x14ac:dyDescent="0.3">
      <c r="A141" s="84" t="s">
        <v>134</v>
      </c>
      <c r="B141" s="84" t="s">
        <v>14</v>
      </c>
      <c r="C141" s="184">
        <f>C75*C62*C50*C45*C98</f>
        <v>18712.146352207794</v>
      </c>
      <c r="D141" s="80"/>
      <c r="E141" s="73"/>
      <c r="F141" s="80"/>
    </row>
    <row r="142" spans="1:6" x14ac:dyDescent="0.3">
      <c r="A142" s="84" t="s">
        <v>135</v>
      </c>
      <c r="B142" s="84" t="s">
        <v>129</v>
      </c>
      <c r="C142" s="184">
        <f>C76*C62*(1-C50)*C45*C98</f>
        <v>8292.8830424557254</v>
      </c>
      <c r="D142" s="80"/>
      <c r="E142" s="73"/>
      <c r="F142" s="80"/>
    </row>
    <row r="143" spans="1:6" x14ac:dyDescent="0.3">
      <c r="A143" s="84" t="s">
        <v>136</v>
      </c>
      <c r="B143" s="84" t="s">
        <v>14</v>
      </c>
      <c r="C143" s="184">
        <f>C75*C63*C50*C45*C99</f>
        <v>17249.196728307907</v>
      </c>
      <c r="D143" s="80"/>
      <c r="E143" s="73"/>
      <c r="F143" s="80"/>
    </row>
    <row r="144" spans="1:6" x14ac:dyDescent="0.3">
      <c r="A144" s="84" t="s">
        <v>137</v>
      </c>
      <c r="B144" s="84" t="s">
        <v>129</v>
      </c>
      <c r="C144" s="184">
        <f>C76*C63*(1-C50)*C45*C99</f>
        <v>7644.530368227367</v>
      </c>
      <c r="D144" s="80"/>
      <c r="E144" s="73"/>
      <c r="F144" s="80"/>
    </row>
    <row r="145" spans="1:6" x14ac:dyDescent="0.3">
      <c r="A145" s="84" t="s">
        <v>138</v>
      </c>
      <c r="B145" s="84" t="s">
        <v>14</v>
      </c>
      <c r="C145" s="184">
        <f>C75*C64*C50*C45*C100</f>
        <v>15900.623165912928</v>
      </c>
      <c r="D145" s="80"/>
      <c r="E145" s="73"/>
      <c r="F145" s="80"/>
    </row>
    <row r="146" spans="1:6" x14ac:dyDescent="0.3">
      <c r="A146" s="84" t="s">
        <v>139</v>
      </c>
      <c r="B146" s="84" t="s">
        <v>129</v>
      </c>
      <c r="C146" s="184">
        <f>C76*C64*(1-C50)*C45*C100</f>
        <v>7046.867084893227</v>
      </c>
      <c r="D146" s="80"/>
      <c r="E146" s="73"/>
      <c r="F146" s="80"/>
    </row>
    <row r="147" spans="1:6" x14ac:dyDescent="0.3">
      <c r="A147" s="84" t="s">
        <v>132</v>
      </c>
      <c r="B147" s="84" t="s">
        <v>14</v>
      </c>
      <c r="C147" s="184">
        <f>C75*C65*C50*C45*C101</f>
        <v>14657.483536577911</v>
      </c>
      <c r="D147" s="80"/>
      <c r="E147" s="73"/>
      <c r="F147" s="80"/>
    </row>
    <row r="148" spans="1:6" x14ac:dyDescent="0.3">
      <c r="A148" s="84" t="s">
        <v>133</v>
      </c>
      <c r="B148" s="84" t="s">
        <v>14</v>
      </c>
      <c r="C148" s="184">
        <f>C76*C65*(1-C50)*C45*C101</f>
        <v>6495.9302037106645</v>
      </c>
      <c r="D148" s="80"/>
      <c r="E148" s="73"/>
      <c r="F148" s="80"/>
    </row>
    <row r="149" spans="1:6" x14ac:dyDescent="0.3">
      <c r="A149" s="214" t="s">
        <v>365</v>
      </c>
      <c r="B149" s="214" t="s">
        <v>14</v>
      </c>
      <c r="C149" s="212">
        <f>SUM(C139:C148)</f>
        <v>125295.0572615143</v>
      </c>
      <c r="D149" s="84"/>
      <c r="E149" s="87"/>
      <c r="F149" s="84"/>
    </row>
    <row r="150" spans="1:6" x14ac:dyDescent="0.3">
      <c r="A150" s="80"/>
      <c r="B150" s="80"/>
      <c r="C150" s="184"/>
      <c r="D150" s="80"/>
      <c r="E150" s="73"/>
      <c r="F150" s="80"/>
    </row>
    <row r="151" spans="1:6" x14ac:dyDescent="0.3">
      <c r="A151" s="7" t="s">
        <v>366</v>
      </c>
      <c r="B151" s="7"/>
      <c r="C151" s="7"/>
      <c r="D151" s="7"/>
      <c r="E151" s="7"/>
      <c r="F151" s="7"/>
    </row>
    <row r="152" spans="1:6" x14ac:dyDescent="0.3">
      <c r="A152" s="84" t="s">
        <v>95</v>
      </c>
      <c r="B152" s="84" t="s">
        <v>144</v>
      </c>
      <c r="C152" s="86">
        <f>(C124-C127+C137)+C128+C149-C103</f>
        <v>593958.73518841807</v>
      </c>
      <c r="D152" s="124"/>
      <c r="E152" s="83"/>
      <c r="F152" s="84"/>
    </row>
    <row r="153" spans="1:6" x14ac:dyDescent="0.3">
      <c r="A153" s="84" t="s">
        <v>140</v>
      </c>
      <c r="B153" s="84" t="s">
        <v>19</v>
      </c>
      <c r="C153" s="86">
        <f>C152/C123</f>
        <v>118791.74703768361</v>
      </c>
      <c r="D153" s="80"/>
      <c r="E153" s="83"/>
      <c r="F153" s="84"/>
    </row>
    <row r="154" spans="1:6" x14ac:dyDescent="0.3">
      <c r="A154" s="84" t="s">
        <v>54</v>
      </c>
      <c r="B154" s="84" t="s">
        <v>55</v>
      </c>
      <c r="C154" s="86">
        <f>C152/((C43+C44)*C45*C123)</f>
        <v>1.186561400205173</v>
      </c>
      <c r="D154" s="80"/>
      <c r="E154" s="83"/>
      <c r="F154" s="84"/>
    </row>
    <row r="155" spans="1:6" x14ac:dyDescent="0.3">
      <c r="A155" s="7" t="s">
        <v>141</v>
      </c>
      <c r="B155" s="7"/>
      <c r="C155" s="7"/>
      <c r="D155" s="7"/>
      <c r="E155" s="7"/>
      <c r="F155" s="7"/>
    </row>
    <row r="156" spans="1:6" x14ac:dyDescent="0.3">
      <c r="A156" s="7" t="s">
        <v>142</v>
      </c>
      <c r="B156" s="7"/>
      <c r="C156" s="7"/>
      <c r="D156" s="7"/>
      <c r="E156" s="7"/>
      <c r="F156" s="7"/>
    </row>
    <row r="157" spans="1:6" x14ac:dyDescent="0.3">
      <c r="A157" s="84" t="s">
        <v>95</v>
      </c>
      <c r="B157" s="84" t="s">
        <v>144</v>
      </c>
      <c r="C157" s="186">
        <f>'BET-S(5)LCE'!C166</f>
        <v>-3790.6971913562156</v>
      </c>
      <c r="D157" s="80"/>
      <c r="E157" s="73"/>
      <c r="F157" s="73"/>
    </row>
    <row r="158" spans="1:6" x14ac:dyDescent="0.3">
      <c r="A158" s="84" t="s">
        <v>140</v>
      </c>
      <c r="B158" s="84" t="s">
        <v>19</v>
      </c>
      <c r="C158" s="186">
        <f>'BET-S(5)LCE'!C167</f>
        <v>-758.13943827124604</v>
      </c>
      <c r="D158" s="80"/>
      <c r="E158" s="73"/>
      <c r="F158" s="73"/>
    </row>
    <row r="159" spans="1:6" x14ac:dyDescent="0.3">
      <c r="A159" s="84" t="s">
        <v>54</v>
      </c>
      <c r="B159" s="84" t="s">
        <v>55</v>
      </c>
      <c r="C159" s="186">
        <f>'BET-S(5)LCE'!C168</f>
        <v>-7.5727398229148424E-3</v>
      </c>
      <c r="D159" s="80"/>
      <c r="E159" s="73"/>
      <c r="F159" s="73"/>
    </row>
    <row r="160" spans="1:6" x14ac:dyDescent="0.3">
      <c r="A160" s="84"/>
      <c r="B160" s="80"/>
      <c r="C160" s="183"/>
      <c r="D160" s="80"/>
      <c r="E160" s="73"/>
      <c r="F160" s="73"/>
    </row>
    <row r="161" spans="1:6" x14ac:dyDescent="0.3">
      <c r="A161" s="7" t="s">
        <v>143</v>
      </c>
      <c r="B161" s="7"/>
      <c r="C161" s="7"/>
      <c r="D161" s="7"/>
      <c r="E161" s="7"/>
      <c r="F161" s="7"/>
    </row>
    <row r="162" spans="1:6" x14ac:dyDescent="0.3">
      <c r="A162" s="84" t="s">
        <v>95</v>
      </c>
      <c r="B162" s="84" t="s">
        <v>144</v>
      </c>
      <c r="C162" s="86">
        <f>'BET-S(5)LCE'!C161</f>
        <v>84817.944817403506</v>
      </c>
      <c r="D162" s="80"/>
      <c r="E162" s="73"/>
      <c r="F162" s="73"/>
    </row>
    <row r="163" spans="1:6" x14ac:dyDescent="0.3">
      <c r="A163" s="84" t="s">
        <v>140</v>
      </c>
      <c r="B163" s="84" t="s">
        <v>19</v>
      </c>
      <c r="C163" s="86">
        <f>'BET-S(5)LCE'!C162</f>
        <v>16963.588963480695</v>
      </c>
      <c r="D163" s="80"/>
      <c r="E163" s="73"/>
      <c r="F163" s="73"/>
    </row>
    <row r="164" spans="1:6" x14ac:dyDescent="0.3">
      <c r="A164" s="84" t="s">
        <v>54</v>
      </c>
      <c r="B164" s="84" t="s">
        <v>55</v>
      </c>
      <c r="C164" s="86">
        <f>'BET-S(5)LCE'!C163</f>
        <v>0.16944224135896824</v>
      </c>
      <c r="D164" s="80"/>
      <c r="E164" s="73"/>
      <c r="F164" s="73"/>
    </row>
    <row r="165" spans="1:6" x14ac:dyDescent="0.3">
      <c r="A165" s="84"/>
      <c r="B165" s="84"/>
      <c r="C165" s="86"/>
      <c r="D165" s="80"/>
      <c r="E165" s="73"/>
      <c r="F165" s="73"/>
    </row>
    <row r="166" spans="1:6" x14ac:dyDescent="0.3">
      <c r="A166" s="7" t="s">
        <v>243</v>
      </c>
      <c r="B166" s="7"/>
      <c r="C166" s="7"/>
      <c r="D166" s="7"/>
      <c r="E166" s="7"/>
      <c r="F166" s="7"/>
    </row>
    <row r="167" spans="1:6" x14ac:dyDescent="0.3">
      <c r="A167" s="84" t="s">
        <v>95</v>
      </c>
      <c r="B167" s="84" t="s">
        <v>144</v>
      </c>
      <c r="C167" s="186"/>
      <c r="D167" s="80"/>
      <c r="E167" s="73"/>
      <c r="F167" s="73"/>
    </row>
    <row r="168" spans="1:6" x14ac:dyDescent="0.3">
      <c r="A168" s="84" t="s">
        <v>140</v>
      </c>
      <c r="B168" s="84" t="s">
        <v>19</v>
      </c>
      <c r="C168" s="186"/>
      <c r="D168" s="80"/>
      <c r="E168" s="73"/>
      <c r="F168" s="73"/>
    </row>
    <row r="169" spans="1:6" x14ac:dyDescent="0.3">
      <c r="A169" s="84" t="s">
        <v>54</v>
      </c>
      <c r="B169" s="84" t="s">
        <v>55</v>
      </c>
      <c r="C169" s="186"/>
      <c r="D169" s="80"/>
      <c r="E169" s="73"/>
      <c r="F169" s="73"/>
    </row>
    <row r="170" spans="1:6" x14ac:dyDescent="0.3">
      <c r="A170" s="84"/>
      <c r="B170" s="84"/>
      <c r="C170" s="186"/>
      <c r="D170" s="80"/>
      <c r="E170" s="73"/>
      <c r="F170" s="73"/>
    </row>
    <row r="171" spans="1:6" x14ac:dyDescent="0.3">
      <c r="A171" s="7" t="s">
        <v>360</v>
      </c>
      <c r="B171" s="7"/>
      <c r="C171" s="7"/>
      <c r="D171" s="7"/>
      <c r="E171" s="7"/>
      <c r="F171" s="7"/>
    </row>
    <row r="172" spans="1:6" x14ac:dyDescent="0.3">
      <c r="A172" s="70"/>
      <c r="B172" s="71"/>
      <c r="C172" s="180"/>
      <c r="D172" s="71"/>
      <c r="E172" s="71"/>
      <c r="F172" s="73"/>
    </row>
    <row r="173" spans="1:6" x14ac:dyDescent="0.3">
      <c r="A173" s="70" t="s">
        <v>119</v>
      </c>
      <c r="B173" s="74" t="s">
        <v>14</v>
      </c>
      <c r="C173" s="176">
        <v>15.78</v>
      </c>
      <c r="D173" s="74" t="s">
        <v>192</v>
      </c>
      <c r="E173" s="73"/>
      <c r="F173" s="73" t="s">
        <v>193</v>
      </c>
    </row>
    <row r="174" spans="1:6" x14ac:dyDescent="0.3">
      <c r="A174" s="70" t="s">
        <v>120</v>
      </c>
      <c r="B174" s="74" t="s">
        <v>121</v>
      </c>
      <c r="C174" s="177">
        <v>48</v>
      </c>
      <c r="D174" s="74" t="s">
        <v>192</v>
      </c>
      <c r="E174" s="73"/>
      <c r="F174" s="73"/>
    </row>
    <row r="175" spans="1:6" ht="24" x14ac:dyDescent="0.3">
      <c r="A175" s="70" t="s">
        <v>18</v>
      </c>
      <c r="B175" s="74" t="s">
        <v>19</v>
      </c>
      <c r="C175" s="180">
        <f>C45/(C174/9)*C174*C173</f>
        <v>41469.839999999997</v>
      </c>
      <c r="D175" s="74"/>
      <c r="E175" s="73" t="s">
        <v>20</v>
      </c>
      <c r="F175" s="73"/>
    </row>
    <row r="176" spans="1:6" x14ac:dyDescent="0.3">
      <c r="A176" s="80"/>
      <c r="B176" s="80"/>
      <c r="C176" s="184"/>
      <c r="D176" s="80"/>
      <c r="E176" s="73"/>
      <c r="F176" s="80"/>
    </row>
    <row r="177" spans="1:6" ht="24" x14ac:dyDescent="0.3">
      <c r="A177" s="70" t="s">
        <v>94</v>
      </c>
      <c r="B177" s="74" t="s">
        <v>118</v>
      </c>
      <c r="C177" s="156">
        <v>7.2499999999999995E-2</v>
      </c>
      <c r="D177" s="74" t="s">
        <v>9</v>
      </c>
      <c r="E177" s="73" t="s">
        <v>91</v>
      </c>
      <c r="F177" s="80"/>
    </row>
  </sheetData>
  <mergeCells count="1">
    <mergeCell ref="A4:E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88D-0FF3-46B5-A3A0-ED8289C2A561}">
  <sheetPr>
    <tabColor rgb="FFFF0000"/>
  </sheetPr>
  <dimension ref="A1:F179"/>
  <sheetViews>
    <sheetView topLeftCell="A88" zoomScale="93" workbookViewId="0">
      <selection activeCell="C129" sqref="C129"/>
    </sheetView>
  </sheetViews>
  <sheetFormatPr defaultColWidth="8.7265625" defaultRowHeight="12" x14ac:dyDescent="0.3"/>
  <cols>
    <col min="1" max="1" width="36.453125" style="3" customWidth="1"/>
    <col min="2" max="2" width="13.453125" style="3" customWidth="1"/>
    <col min="3" max="3" width="16.1796875" style="20" customWidth="1"/>
    <col min="4" max="4" width="20.36328125" style="3" customWidth="1"/>
    <col min="5" max="5" width="35.90625" style="16" customWidth="1"/>
    <col min="6" max="6" width="34.08984375" style="16" customWidth="1"/>
    <col min="7" max="9" width="8.81640625" style="3" bestFit="1" customWidth="1"/>
    <col min="10" max="16384" width="8.7265625" style="3"/>
  </cols>
  <sheetData>
    <row r="1" spans="1:6" ht="23.5" x14ac:dyDescent="0.55000000000000004">
      <c r="A1" s="8" t="s">
        <v>412</v>
      </c>
    </row>
    <row r="3" spans="1:6" x14ac:dyDescent="0.3">
      <c r="A3" s="46" t="s">
        <v>0</v>
      </c>
      <c r="B3" s="47"/>
      <c r="C3" s="66"/>
      <c r="D3" s="47"/>
      <c r="E3" s="49"/>
      <c r="F3" s="49"/>
    </row>
    <row r="4" spans="1:6" ht="40" customHeight="1" x14ac:dyDescent="0.3">
      <c r="A4" s="250" t="s">
        <v>287</v>
      </c>
      <c r="B4" s="250"/>
      <c r="C4" s="250"/>
      <c r="D4" s="250"/>
      <c r="E4" s="250"/>
    </row>
    <row r="5" spans="1:6" ht="24" x14ac:dyDescent="0.3">
      <c r="A5" s="50" t="s">
        <v>1</v>
      </c>
      <c r="B5" s="51" t="s">
        <v>2</v>
      </c>
      <c r="C5" s="67" t="s">
        <v>115</v>
      </c>
      <c r="D5" s="51" t="s">
        <v>3</v>
      </c>
      <c r="E5" s="51" t="s">
        <v>116</v>
      </c>
      <c r="F5" s="52" t="s">
        <v>123</v>
      </c>
    </row>
    <row r="6" spans="1:6" x14ac:dyDescent="0.3">
      <c r="A6" s="7" t="s">
        <v>13</v>
      </c>
      <c r="B6" s="5"/>
      <c r="C6" s="25"/>
      <c r="D6" s="5"/>
      <c r="E6" s="5"/>
      <c r="F6" s="18"/>
    </row>
    <row r="7" spans="1:6" x14ac:dyDescent="0.3">
      <c r="A7" s="70"/>
      <c r="B7" s="74"/>
      <c r="C7" s="155"/>
      <c r="D7" s="74"/>
      <c r="E7" s="73"/>
      <c r="F7" s="73"/>
    </row>
    <row r="8" spans="1:6" x14ac:dyDescent="0.3">
      <c r="A8" s="70" t="s">
        <v>279</v>
      </c>
      <c r="B8" s="74" t="s">
        <v>14</v>
      </c>
      <c r="C8" s="101">
        <v>144900</v>
      </c>
      <c r="D8" s="74"/>
      <c r="E8" s="73"/>
      <c r="F8" s="73" t="s">
        <v>206</v>
      </c>
    </row>
    <row r="9" spans="1:6" x14ac:dyDescent="0.3">
      <c r="A9" s="70" t="s">
        <v>255</v>
      </c>
      <c r="B9" s="74" t="s">
        <v>118</v>
      </c>
      <c r="C9" s="142">
        <v>7.4999999999999997E-2</v>
      </c>
      <c r="D9" s="74"/>
      <c r="E9" s="73"/>
      <c r="F9" s="73"/>
    </row>
    <row r="10" spans="1:6" x14ac:dyDescent="0.3">
      <c r="A10" s="70" t="s">
        <v>256</v>
      </c>
      <c r="B10" s="74" t="s">
        <v>14</v>
      </c>
      <c r="C10" s="216">
        <v>9.5000000000000001E-2</v>
      </c>
      <c r="D10" s="74"/>
      <c r="E10" s="73"/>
      <c r="F10" s="73"/>
    </row>
    <row r="11" spans="1:6" ht="24" x14ac:dyDescent="0.3">
      <c r="A11" s="70" t="s">
        <v>58</v>
      </c>
      <c r="B11" s="74" t="s">
        <v>11</v>
      </c>
      <c r="C11" s="101">
        <v>15</v>
      </c>
      <c r="D11" s="74" t="s">
        <v>9</v>
      </c>
      <c r="E11" s="73"/>
      <c r="F11" s="73"/>
    </row>
    <row r="12" spans="1:6" x14ac:dyDescent="0.3">
      <c r="A12" s="70" t="s">
        <v>370</v>
      </c>
      <c r="B12" s="74" t="s">
        <v>371</v>
      </c>
      <c r="C12" s="106">
        <v>0.125</v>
      </c>
      <c r="D12" s="74"/>
      <c r="E12" s="73"/>
      <c r="F12" s="73"/>
    </row>
    <row r="13" spans="1:6" x14ac:dyDescent="0.3">
      <c r="A13" s="70" t="s">
        <v>372</v>
      </c>
      <c r="B13" s="74" t="s">
        <v>371</v>
      </c>
      <c r="C13" s="107">
        <v>0.3</v>
      </c>
      <c r="D13" s="74"/>
      <c r="E13" s="73"/>
      <c r="F13" s="73"/>
    </row>
    <row r="14" spans="1:6" x14ac:dyDescent="0.3">
      <c r="A14" s="70" t="s">
        <v>373</v>
      </c>
      <c r="B14" s="74" t="s">
        <v>374</v>
      </c>
      <c r="C14" s="105">
        <v>5</v>
      </c>
      <c r="D14" s="74"/>
      <c r="E14" s="73"/>
      <c r="F14" s="73"/>
    </row>
    <row r="15" spans="1:6" ht="11.5" customHeight="1" x14ac:dyDescent="0.3">
      <c r="A15" s="70" t="s">
        <v>375</v>
      </c>
      <c r="B15" s="74" t="s">
        <v>14</v>
      </c>
      <c r="C15" s="81">
        <f>C8*(1-C13)</f>
        <v>101430</v>
      </c>
      <c r="D15" s="100"/>
      <c r="E15" s="73"/>
      <c r="F15" s="73"/>
    </row>
    <row r="16" spans="1:6" x14ac:dyDescent="0.3">
      <c r="A16" s="70" t="s">
        <v>376</v>
      </c>
      <c r="B16" s="74" t="s">
        <v>14</v>
      </c>
      <c r="C16" s="150">
        <f>C8*C13</f>
        <v>43470</v>
      </c>
      <c r="D16" s="99"/>
      <c r="E16" s="73"/>
      <c r="F16" s="73"/>
    </row>
    <row r="17" spans="1:6" x14ac:dyDescent="0.3">
      <c r="A17" s="70" t="s">
        <v>377</v>
      </c>
      <c r="B17" s="74" t="s">
        <v>14</v>
      </c>
      <c r="C17" s="81">
        <f>C8*(1-C13)*C12</f>
        <v>12678.75</v>
      </c>
      <c r="D17" s="99"/>
      <c r="E17" s="73"/>
      <c r="F17" s="73"/>
    </row>
    <row r="18" spans="1:6" x14ac:dyDescent="0.3">
      <c r="A18" s="84" t="s">
        <v>378</v>
      </c>
      <c r="B18" s="74" t="s">
        <v>14</v>
      </c>
      <c r="C18" s="117">
        <f>-PMT(C12,5,C15)</f>
        <v>28487.025179787677</v>
      </c>
      <c r="D18" s="99"/>
      <c r="E18" s="73"/>
      <c r="F18" s="73"/>
    </row>
    <row r="19" spans="1:6" x14ac:dyDescent="0.3">
      <c r="A19" s="84" t="s">
        <v>389</v>
      </c>
      <c r="B19" s="74" t="s">
        <v>14</v>
      </c>
      <c r="C19" s="118">
        <f>C18*SUM(C102:C106)+C16</f>
        <v>151458.23815134444</v>
      </c>
      <c r="D19" s="74"/>
      <c r="E19" s="73"/>
      <c r="F19" s="73"/>
    </row>
    <row r="20" spans="1:6" x14ac:dyDescent="0.3">
      <c r="A20" s="80" t="s">
        <v>414</v>
      </c>
      <c r="B20" s="80" t="s">
        <v>416</v>
      </c>
      <c r="C20" s="242">
        <v>11022</v>
      </c>
      <c r="D20" s="80"/>
      <c r="E20" s="73"/>
      <c r="F20" s="73"/>
    </row>
    <row r="21" spans="1:6" x14ac:dyDescent="0.3">
      <c r="A21" s="80" t="s">
        <v>420</v>
      </c>
      <c r="B21" s="80" t="s">
        <v>415</v>
      </c>
      <c r="C21" s="242">
        <v>7</v>
      </c>
      <c r="D21" s="80"/>
      <c r="E21" s="73"/>
      <c r="F21" s="73"/>
    </row>
    <row r="22" spans="1:6" x14ac:dyDescent="0.3">
      <c r="A22" s="80" t="s">
        <v>419</v>
      </c>
      <c r="B22" s="80" t="s">
        <v>421</v>
      </c>
      <c r="C22" s="137">
        <v>0.17</v>
      </c>
      <c r="D22" s="80"/>
      <c r="E22" s="73"/>
      <c r="F22" s="73"/>
    </row>
    <row r="23" spans="1:6" x14ac:dyDescent="0.3">
      <c r="A23" s="80" t="s">
        <v>483</v>
      </c>
      <c r="B23" s="80" t="s">
        <v>484</v>
      </c>
      <c r="C23" s="245">
        <v>10</v>
      </c>
      <c r="D23" s="80"/>
      <c r="E23" s="73"/>
      <c r="F23" s="73"/>
    </row>
    <row r="24" spans="1:6" x14ac:dyDescent="0.3">
      <c r="A24" s="70"/>
      <c r="B24" s="74"/>
      <c r="C24" s="155"/>
      <c r="D24" s="74"/>
      <c r="E24" s="73"/>
      <c r="F24" s="73"/>
    </row>
    <row r="25" spans="1:6" x14ac:dyDescent="0.3">
      <c r="A25" s="7" t="s">
        <v>379</v>
      </c>
      <c r="B25" s="5"/>
      <c r="C25" s="28"/>
      <c r="D25" s="5"/>
      <c r="E25" s="5"/>
      <c r="F25" s="18"/>
    </row>
    <row r="26" spans="1:6" ht="24" x14ac:dyDescent="0.3">
      <c r="A26" s="70" t="s">
        <v>21</v>
      </c>
      <c r="B26" s="74" t="s">
        <v>19</v>
      </c>
      <c r="C26" s="101">
        <v>4800</v>
      </c>
      <c r="D26" s="74" t="s">
        <v>9</v>
      </c>
      <c r="E26" s="73" t="s">
        <v>22</v>
      </c>
      <c r="F26" s="73"/>
    </row>
    <row r="27" spans="1:6" ht="48" x14ac:dyDescent="0.3">
      <c r="A27" s="70" t="s">
        <v>240</v>
      </c>
      <c r="B27" s="74" t="s">
        <v>14</v>
      </c>
      <c r="C27" s="101">
        <v>10000</v>
      </c>
      <c r="D27" s="74" t="s">
        <v>209</v>
      </c>
      <c r="E27" s="73"/>
      <c r="F27" s="73" t="s">
        <v>210</v>
      </c>
    </row>
    <row r="28" spans="1:6" x14ac:dyDescent="0.3">
      <c r="A28" s="70" t="s">
        <v>380</v>
      </c>
      <c r="B28" s="74" t="s">
        <v>14</v>
      </c>
      <c r="C28" s="219">
        <f>C178*C35</f>
        <v>41469.839999999997</v>
      </c>
      <c r="D28" s="71"/>
      <c r="E28" s="71"/>
      <c r="F28" s="73"/>
    </row>
    <row r="29" spans="1:6" x14ac:dyDescent="0.3">
      <c r="A29" s="70"/>
      <c r="B29" s="71"/>
      <c r="C29" s="78"/>
      <c r="D29" s="71"/>
      <c r="E29" s="71"/>
      <c r="F29" s="73"/>
    </row>
    <row r="30" spans="1:6" x14ac:dyDescent="0.3">
      <c r="A30" s="70"/>
      <c r="B30" s="71"/>
      <c r="C30" s="78"/>
      <c r="D30" s="71"/>
      <c r="E30" s="71"/>
      <c r="F30" s="73"/>
    </row>
    <row r="31" spans="1:6" x14ac:dyDescent="0.3">
      <c r="A31" s="7" t="s">
        <v>60</v>
      </c>
      <c r="B31" s="5"/>
      <c r="C31" s="25"/>
      <c r="D31" s="5"/>
      <c r="E31" s="5"/>
      <c r="F31" s="18"/>
    </row>
    <row r="32" spans="1:6" x14ac:dyDescent="0.3">
      <c r="A32" s="70" t="s">
        <v>199</v>
      </c>
      <c r="B32" s="74" t="s">
        <v>23</v>
      </c>
      <c r="C32" s="115">
        <v>240</v>
      </c>
      <c r="D32" s="74"/>
      <c r="E32" s="73" t="s">
        <v>24</v>
      </c>
      <c r="F32" s="73"/>
    </row>
    <row r="33" spans="1:6" x14ac:dyDescent="0.3">
      <c r="A33" s="70" t="s">
        <v>154</v>
      </c>
      <c r="B33" s="74" t="s">
        <v>23</v>
      </c>
      <c r="C33" s="101">
        <f>C32/7*3</f>
        <v>102.85714285714286</v>
      </c>
      <c r="D33" s="74" t="s">
        <v>192</v>
      </c>
      <c r="E33" s="73"/>
      <c r="F33" s="73"/>
    </row>
    <row r="34" spans="1:6" ht="24" x14ac:dyDescent="0.3">
      <c r="A34" s="70" t="s">
        <v>25</v>
      </c>
      <c r="B34" s="74" t="s">
        <v>26</v>
      </c>
      <c r="C34" s="101">
        <v>292</v>
      </c>
      <c r="D34" s="74" t="s">
        <v>9</v>
      </c>
      <c r="E34" s="73" t="s">
        <v>27</v>
      </c>
      <c r="F34" s="73"/>
    </row>
    <row r="35" spans="1:6" x14ac:dyDescent="0.3">
      <c r="A35" s="70" t="s">
        <v>317</v>
      </c>
      <c r="B35" s="74" t="s">
        <v>118</v>
      </c>
      <c r="C35" s="105">
        <v>1</v>
      </c>
      <c r="D35" s="74"/>
      <c r="E35" s="73"/>
      <c r="F35" s="73"/>
    </row>
    <row r="36" spans="1:6" ht="24" x14ac:dyDescent="0.3">
      <c r="A36" s="70" t="s">
        <v>397</v>
      </c>
      <c r="B36" s="74" t="s">
        <v>396</v>
      </c>
      <c r="C36" s="101">
        <f>C35</f>
        <v>1</v>
      </c>
      <c r="D36" s="74" t="s">
        <v>9</v>
      </c>
      <c r="E36" s="73"/>
      <c r="F36" s="73"/>
    </row>
    <row r="37" spans="1:6" x14ac:dyDescent="0.3">
      <c r="A37" s="70" t="s">
        <v>354</v>
      </c>
      <c r="B37" s="74" t="s">
        <v>118</v>
      </c>
      <c r="C37" s="142">
        <v>1.0999999999999999E-2</v>
      </c>
      <c r="D37" s="74"/>
      <c r="E37" s="73"/>
      <c r="F37" s="73"/>
    </row>
    <row r="38" spans="1:6" ht="24" x14ac:dyDescent="0.3">
      <c r="A38" s="70" t="s">
        <v>196</v>
      </c>
      <c r="B38" s="74" t="s">
        <v>118</v>
      </c>
      <c r="C38" s="107">
        <v>0.25</v>
      </c>
      <c r="D38" s="74" t="s">
        <v>265</v>
      </c>
      <c r="E38" s="73"/>
      <c r="F38" s="73" t="s">
        <v>208</v>
      </c>
    </row>
    <row r="39" spans="1:6" ht="24" x14ac:dyDescent="0.3">
      <c r="A39" s="70" t="s">
        <v>398</v>
      </c>
      <c r="B39" s="74" t="s">
        <v>118</v>
      </c>
      <c r="C39" s="104">
        <v>0.8</v>
      </c>
      <c r="D39" s="74" t="s">
        <v>9</v>
      </c>
      <c r="E39" s="73" t="s">
        <v>70</v>
      </c>
      <c r="F39" s="73"/>
    </row>
    <row r="40" spans="1:6" x14ac:dyDescent="0.3">
      <c r="A40" s="70" t="s">
        <v>102</v>
      </c>
      <c r="B40" s="74" t="s">
        <v>76</v>
      </c>
      <c r="C40" s="115">
        <f>C$32*C$35*C50+C$33*C$35*C60</f>
        <v>111</v>
      </c>
      <c r="D40" s="74"/>
      <c r="E40" s="73"/>
      <c r="F40" s="73"/>
    </row>
    <row r="41" spans="1:6" x14ac:dyDescent="0.3">
      <c r="A41" s="70" t="s">
        <v>103</v>
      </c>
      <c r="B41" s="74" t="s">
        <v>76</v>
      </c>
      <c r="C41" s="78">
        <f>C$32*C$35*C51+C$33*C$35*C61</f>
        <v>112.22099999999999</v>
      </c>
      <c r="D41" s="80"/>
      <c r="E41" s="73" t="s">
        <v>101</v>
      </c>
      <c r="F41" s="73"/>
    </row>
    <row r="42" spans="1:6" x14ac:dyDescent="0.3">
      <c r="A42" s="70" t="s">
        <v>104</v>
      </c>
      <c r="B42" s="74" t="s">
        <v>76</v>
      </c>
      <c r="C42" s="78">
        <f>C$32*C$35*C52+C$33*C$35*C62</f>
        <v>113.45543099999999</v>
      </c>
      <c r="D42" s="80"/>
      <c r="E42" s="73"/>
      <c r="F42" s="73"/>
    </row>
    <row r="43" spans="1:6" x14ac:dyDescent="0.3">
      <c r="A43" s="70" t="s">
        <v>105</v>
      </c>
      <c r="B43" s="74" t="s">
        <v>76</v>
      </c>
      <c r="C43" s="78">
        <f>C$32*C$35*C53+C$33*C$35*C63</f>
        <v>114.70344074099997</v>
      </c>
      <c r="D43" s="74"/>
      <c r="E43" s="73"/>
      <c r="F43" s="73"/>
    </row>
    <row r="44" spans="1:6" x14ac:dyDescent="0.3">
      <c r="A44" s="70" t="s">
        <v>106</v>
      </c>
      <c r="B44" s="74" t="s">
        <v>76</v>
      </c>
      <c r="C44" s="78">
        <f>C$32*C$35*C54+C$33*C$35*C64</f>
        <v>115.96517858915097</v>
      </c>
      <c r="D44" s="80"/>
      <c r="E44" s="73"/>
      <c r="F44" s="73"/>
    </row>
    <row r="45" spans="1:6" x14ac:dyDescent="0.3">
      <c r="A45" s="70" t="s">
        <v>470</v>
      </c>
      <c r="B45" s="74" t="s">
        <v>76</v>
      </c>
      <c r="C45" s="78">
        <f t="shared" ref="C45:C49" si="0">C$32*C$35*C55+C$33*C$35*C65</f>
        <v>117.24079555363161</v>
      </c>
      <c r="D45" s="80"/>
      <c r="E45" s="73"/>
      <c r="F45" s="73"/>
    </row>
    <row r="46" spans="1:6" x14ac:dyDescent="0.3">
      <c r="A46" s="70" t="s">
        <v>471</v>
      </c>
      <c r="B46" s="74" t="s">
        <v>76</v>
      </c>
      <c r="C46" s="78">
        <f t="shared" si="0"/>
        <v>118.53044430472156</v>
      </c>
      <c r="D46" s="80"/>
      <c r="E46" s="73"/>
      <c r="F46" s="73"/>
    </row>
    <row r="47" spans="1:6" x14ac:dyDescent="0.3">
      <c r="A47" s="70" t="s">
        <v>472</v>
      </c>
      <c r="B47" s="74" t="s">
        <v>76</v>
      </c>
      <c r="C47" s="78">
        <f t="shared" si="0"/>
        <v>119.83427919207348</v>
      </c>
      <c r="D47" s="80"/>
      <c r="E47" s="73"/>
      <c r="F47" s="73"/>
    </row>
    <row r="48" spans="1:6" x14ac:dyDescent="0.3">
      <c r="A48" s="70" t="s">
        <v>473</v>
      </c>
      <c r="B48" s="74" t="s">
        <v>76</v>
      </c>
      <c r="C48" s="78">
        <f t="shared" si="0"/>
        <v>121.15245626318628</v>
      </c>
      <c r="D48" s="80"/>
      <c r="E48" s="73"/>
      <c r="F48" s="73"/>
    </row>
    <row r="49" spans="1:6" x14ac:dyDescent="0.3">
      <c r="A49" s="70" t="s">
        <v>474</v>
      </c>
      <c r="B49" s="74" t="s">
        <v>76</v>
      </c>
      <c r="C49" s="78">
        <f t="shared" si="0"/>
        <v>122.48513328208132</v>
      </c>
      <c r="D49" s="80"/>
      <c r="E49" s="73"/>
      <c r="F49" s="73"/>
    </row>
    <row r="50" spans="1:6" x14ac:dyDescent="0.3">
      <c r="A50" s="70" t="s">
        <v>158</v>
      </c>
      <c r="B50" s="74" t="s">
        <v>75</v>
      </c>
      <c r="C50" s="78">
        <v>0.35</v>
      </c>
      <c r="D50" s="74" t="s">
        <v>31</v>
      </c>
      <c r="E50" s="73"/>
      <c r="F50" s="73"/>
    </row>
    <row r="51" spans="1:6" ht="24" x14ac:dyDescent="0.3">
      <c r="A51" s="70" t="s">
        <v>160</v>
      </c>
      <c r="B51" s="74" t="s">
        <v>75</v>
      </c>
      <c r="C51" s="78">
        <f>C50*(1+C$37)</f>
        <v>0.35384999999999994</v>
      </c>
      <c r="D51" s="74"/>
      <c r="E51" s="73"/>
      <c r="F51" s="73"/>
    </row>
    <row r="52" spans="1:6" x14ac:dyDescent="0.3">
      <c r="A52" s="70" t="s">
        <v>161</v>
      </c>
      <c r="B52" s="74" t="s">
        <v>75</v>
      </c>
      <c r="C52" s="78">
        <f t="shared" ref="C52:C59" si="1">C51*(1+C$37)</f>
        <v>0.35774234999999993</v>
      </c>
      <c r="D52" s="74"/>
      <c r="E52" s="73"/>
      <c r="F52" s="73"/>
    </row>
    <row r="53" spans="1:6" x14ac:dyDescent="0.3">
      <c r="A53" s="70" t="s">
        <v>162</v>
      </c>
      <c r="B53" s="74" t="s">
        <v>75</v>
      </c>
      <c r="C53" s="78">
        <f t="shared" si="1"/>
        <v>0.36167751584999991</v>
      </c>
      <c r="D53" s="74"/>
      <c r="E53" s="73"/>
      <c r="F53" s="73"/>
    </row>
    <row r="54" spans="1:6" x14ac:dyDescent="0.3">
      <c r="A54" s="70" t="s">
        <v>163</v>
      </c>
      <c r="B54" s="74" t="s">
        <v>75</v>
      </c>
      <c r="C54" s="78">
        <f t="shared" si="1"/>
        <v>0.36565596852434989</v>
      </c>
      <c r="D54" s="74"/>
      <c r="E54" s="73"/>
      <c r="F54" s="73"/>
    </row>
    <row r="55" spans="1:6" x14ac:dyDescent="0.3">
      <c r="A55" s="70" t="s">
        <v>460</v>
      </c>
      <c r="B55" s="74" t="s">
        <v>75</v>
      </c>
      <c r="C55" s="78">
        <f t="shared" si="1"/>
        <v>0.36967818417811771</v>
      </c>
      <c r="D55" s="74"/>
      <c r="E55" s="73"/>
      <c r="F55" s="73"/>
    </row>
    <row r="56" spans="1:6" ht="24" x14ac:dyDescent="0.3">
      <c r="A56" s="70" t="s">
        <v>461</v>
      </c>
      <c r="B56" s="74" t="s">
        <v>75</v>
      </c>
      <c r="C56" s="78">
        <f t="shared" si="1"/>
        <v>0.37374464420407699</v>
      </c>
      <c r="D56" s="74"/>
      <c r="E56" s="73"/>
      <c r="F56" s="73"/>
    </row>
    <row r="57" spans="1:6" x14ac:dyDescent="0.3">
      <c r="A57" s="70" t="s">
        <v>462</v>
      </c>
      <c r="B57" s="74" t="s">
        <v>75</v>
      </c>
      <c r="C57" s="78">
        <f t="shared" si="1"/>
        <v>0.3778558352903218</v>
      </c>
      <c r="D57" s="74"/>
      <c r="E57" s="73"/>
      <c r="F57" s="73"/>
    </row>
    <row r="58" spans="1:6" x14ac:dyDescent="0.3">
      <c r="A58" s="70" t="s">
        <v>463</v>
      </c>
      <c r="B58" s="74" t="s">
        <v>75</v>
      </c>
      <c r="C58" s="78">
        <f t="shared" si="1"/>
        <v>0.38201224947851531</v>
      </c>
      <c r="D58" s="74"/>
      <c r="E58" s="73"/>
      <c r="F58" s="73"/>
    </row>
    <row r="59" spans="1:6" x14ac:dyDescent="0.3">
      <c r="A59" s="70" t="s">
        <v>464</v>
      </c>
      <c r="B59" s="74" t="s">
        <v>75</v>
      </c>
      <c r="C59" s="78">
        <f t="shared" si="1"/>
        <v>0.38621438422277893</v>
      </c>
      <c r="D59" s="74"/>
      <c r="E59" s="73"/>
      <c r="F59" s="73"/>
    </row>
    <row r="60" spans="1:6" x14ac:dyDescent="0.3">
      <c r="A60" s="70" t="s">
        <v>159</v>
      </c>
      <c r="B60" s="74" t="s">
        <v>75</v>
      </c>
      <c r="C60" s="175">
        <f>C50*(1-C$38)</f>
        <v>0.26249999999999996</v>
      </c>
      <c r="D60" s="74"/>
      <c r="E60" s="73"/>
      <c r="F60" s="73"/>
    </row>
    <row r="61" spans="1:6" x14ac:dyDescent="0.3">
      <c r="A61" s="70" t="s">
        <v>164</v>
      </c>
      <c r="B61" s="74" t="s">
        <v>75</v>
      </c>
      <c r="C61" s="175">
        <f t="shared" ref="C61:C69" si="2">C51*(1-C$38)</f>
        <v>0.26538749999999994</v>
      </c>
      <c r="D61" s="80"/>
      <c r="E61" s="73"/>
      <c r="F61" s="73"/>
    </row>
    <row r="62" spans="1:6" x14ac:dyDescent="0.3">
      <c r="A62" s="70" t="s">
        <v>165</v>
      </c>
      <c r="B62" s="74" t="s">
        <v>75</v>
      </c>
      <c r="C62" s="175">
        <f t="shared" si="2"/>
        <v>0.26830676249999996</v>
      </c>
      <c r="D62" s="80"/>
      <c r="E62" s="73"/>
      <c r="F62" s="73"/>
    </row>
    <row r="63" spans="1:6" x14ac:dyDescent="0.3">
      <c r="A63" s="70" t="s">
        <v>166</v>
      </c>
      <c r="B63" s="74" t="s">
        <v>75</v>
      </c>
      <c r="C63" s="175">
        <f t="shared" si="2"/>
        <v>0.27125813688749995</v>
      </c>
      <c r="D63" s="80"/>
      <c r="E63" s="73"/>
      <c r="F63" s="73"/>
    </row>
    <row r="64" spans="1:6" x14ac:dyDescent="0.3">
      <c r="A64" s="70" t="s">
        <v>167</v>
      </c>
      <c r="B64" s="74" t="s">
        <v>75</v>
      </c>
      <c r="C64" s="175">
        <f t="shared" si="2"/>
        <v>0.27424197639326242</v>
      </c>
      <c r="D64" s="80"/>
      <c r="E64" s="73"/>
      <c r="F64" s="73"/>
    </row>
    <row r="65" spans="1:6" x14ac:dyDescent="0.3">
      <c r="A65" s="70" t="s">
        <v>465</v>
      </c>
      <c r="B65" s="74" t="s">
        <v>75</v>
      </c>
      <c r="C65" s="175">
        <f>C55*(1-C$38)</f>
        <v>0.27725863813358831</v>
      </c>
      <c r="D65" s="80"/>
      <c r="E65" s="73"/>
      <c r="F65" s="73"/>
    </row>
    <row r="66" spans="1:6" x14ac:dyDescent="0.3">
      <c r="A66" s="70" t="s">
        <v>466</v>
      </c>
      <c r="B66" s="74" t="s">
        <v>75</v>
      </c>
      <c r="C66" s="175">
        <f t="shared" si="2"/>
        <v>0.28030848315305773</v>
      </c>
      <c r="D66" s="80"/>
      <c r="E66" s="73"/>
      <c r="F66" s="73"/>
    </row>
    <row r="67" spans="1:6" x14ac:dyDescent="0.3">
      <c r="A67" s="70" t="s">
        <v>467</v>
      </c>
      <c r="B67" s="74" t="s">
        <v>75</v>
      </c>
      <c r="C67" s="175">
        <f t="shared" si="2"/>
        <v>0.28339187646774133</v>
      </c>
      <c r="D67" s="80"/>
      <c r="E67" s="73"/>
      <c r="F67" s="73"/>
    </row>
    <row r="68" spans="1:6" x14ac:dyDescent="0.3">
      <c r="A68" s="70" t="s">
        <v>468</v>
      </c>
      <c r="B68" s="74" t="s">
        <v>75</v>
      </c>
      <c r="C68" s="175">
        <f t="shared" si="2"/>
        <v>0.28650918710888651</v>
      </c>
      <c r="D68" s="80"/>
      <c r="E68" s="73"/>
      <c r="F68" s="73"/>
    </row>
    <row r="69" spans="1:6" x14ac:dyDescent="0.3">
      <c r="A69" s="70" t="s">
        <v>469</v>
      </c>
      <c r="B69" s="74" t="s">
        <v>75</v>
      </c>
      <c r="C69" s="175">
        <f t="shared" si="2"/>
        <v>0.28966078816708418</v>
      </c>
      <c r="D69" s="80"/>
      <c r="E69" s="73"/>
      <c r="F69" s="73"/>
    </row>
    <row r="70" spans="1:6" x14ac:dyDescent="0.3">
      <c r="A70" s="70" t="s">
        <v>216</v>
      </c>
      <c r="B70" s="74" t="s">
        <v>217</v>
      </c>
      <c r="C70" s="104">
        <v>0.1</v>
      </c>
      <c r="D70" s="74" t="s">
        <v>220</v>
      </c>
      <c r="E70" s="73"/>
      <c r="F70" s="73"/>
    </row>
    <row r="71" spans="1:6" x14ac:dyDescent="0.3">
      <c r="A71" s="70" t="s">
        <v>218</v>
      </c>
      <c r="B71" s="74" t="s">
        <v>14</v>
      </c>
      <c r="C71" s="101">
        <v>50</v>
      </c>
      <c r="D71" s="74" t="s">
        <v>219</v>
      </c>
      <c r="E71" s="73"/>
      <c r="F71" s="73"/>
    </row>
    <row r="72" spans="1:6" x14ac:dyDescent="0.3">
      <c r="A72" s="80" t="s">
        <v>417</v>
      </c>
      <c r="B72" s="80" t="s">
        <v>418</v>
      </c>
      <c r="C72" s="243">
        <v>3.1725699999999999</v>
      </c>
      <c r="D72" s="80"/>
      <c r="E72" s="73"/>
      <c r="F72" s="73"/>
    </row>
    <row r="73" spans="1:6" x14ac:dyDescent="0.3">
      <c r="A73" s="80"/>
      <c r="B73" s="80"/>
      <c r="C73" s="132"/>
      <c r="D73" s="80"/>
      <c r="E73" s="73"/>
      <c r="F73" s="73"/>
    </row>
    <row r="74" spans="1:6" x14ac:dyDescent="0.3">
      <c r="A74" s="7" t="s">
        <v>89</v>
      </c>
      <c r="B74" s="5"/>
      <c r="C74" s="25"/>
      <c r="D74" s="5"/>
      <c r="E74" s="5"/>
      <c r="F74" s="18"/>
    </row>
    <row r="75" spans="1:6" x14ac:dyDescent="0.3">
      <c r="A75" s="70"/>
      <c r="B75" s="71"/>
      <c r="C75" s="78"/>
      <c r="D75" s="71"/>
      <c r="E75" s="71"/>
      <c r="F75" s="73"/>
    </row>
    <row r="76" spans="1:6" x14ac:dyDescent="0.3">
      <c r="A76" s="70" t="s">
        <v>77</v>
      </c>
      <c r="B76" s="74" t="s">
        <v>78</v>
      </c>
      <c r="C76" s="115">
        <v>0.24</v>
      </c>
      <c r="D76" s="74"/>
      <c r="E76" s="73" t="s">
        <v>35</v>
      </c>
      <c r="F76" s="73"/>
    </row>
    <row r="77" spans="1:6" x14ac:dyDescent="0.3">
      <c r="A77" s="70" t="s">
        <v>79</v>
      </c>
      <c r="B77" s="74" t="s">
        <v>11</v>
      </c>
      <c r="C77" s="101">
        <v>24</v>
      </c>
      <c r="D77" s="74"/>
      <c r="E77" s="73" t="s">
        <v>65</v>
      </c>
      <c r="F77" s="73"/>
    </row>
    <row r="78" spans="1:6" x14ac:dyDescent="0.3">
      <c r="A78" s="70"/>
      <c r="B78" s="74"/>
      <c r="C78" s="155"/>
      <c r="D78" s="74"/>
      <c r="E78" s="73"/>
      <c r="F78" s="73"/>
    </row>
    <row r="79" spans="1:6" x14ac:dyDescent="0.3">
      <c r="A79" s="7" t="s">
        <v>88</v>
      </c>
      <c r="B79" s="5"/>
      <c r="C79" s="25"/>
      <c r="D79" s="5"/>
      <c r="E79" s="5"/>
      <c r="F79" s="18"/>
    </row>
    <row r="80" spans="1:6" ht="24" x14ac:dyDescent="0.3">
      <c r="A80" s="70" t="s">
        <v>81</v>
      </c>
      <c r="B80" s="74" t="s">
        <v>78</v>
      </c>
      <c r="C80" s="115">
        <v>1.05</v>
      </c>
      <c r="D80" s="74" t="s">
        <v>9</v>
      </c>
      <c r="E80" s="73" t="s">
        <v>72</v>
      </c>
      <c r="F80" s="73"/>
    </row>
    <row r="81" spans="1:6" ht="24" x14ac:dyDescent="0.3">
      <c r="A81" s="70" t="s">
        <v>87</v>
      </c>
      <c r="B81" s="74" t="s">
        <v>78</v>
      </c>
      <c r="C81" s="161">
        <v>1.48</v>
      </c>
      <c r="D81" s="74" t="s">
        <v>202</v>
      </c>
      <c r="E81" s="73" t="s">
        <v>90</v>
      </c>
      <c r="F81" s="218" t="s">
        <v>200</v>
      </c>
    </row>
    <row r="82" spans="1:6" ht="24" x14ac:dyDescent="0.3">
      <c r="A82" s="70" t="s">
        <v>67</v>
      </c>
      <c r="B82" s="74" t="s">
        <v>68</v>
      </c>
      <c r="C82" s="101">
        <v>51</v>
      </c>
      <c r="D82" s="74" t="s">
        <v>9</v>
      </c>
      <c r="E82" s="73" t="s">
        <v>69</v>
      </c>
      <c r="F82" s="73"/>
    </row>
    <row r="83" spans="1:6" x14ac:dyDescent="0.3">
      <c r="A83" s="70" t="s">
        <v>197</v>
      </c>
      <c r="B83" s="74" t="s">
        <v>80</v>
      </c>
      <c r="C83" s="155">
        <f>C40*C36*C82*C34</f>
        <v>1653012</v>
      </c>
      <c r="D83" s="74" t="s">
        <v>31</v>
      </c>
      <c r="E83" s="73"/>
      <c r="F83" s="73"/>
    </row>
    <row r="84" spans="1:6" x14ac:dyDescent="0.3">
      <c r="A84" s="70" t="s">
        <v>107</v>
      </c>
      <c r="B84" s="74" t="s">
        <v>80</v>
      </c>
      <c r="C84" s="155">
        <f>C41*C36*C82*C34</f>
        <v>1671195.132</v>
      </c>
      <c r="D84" s="74"/>
      <c r="E84" s="73"/>
      <c r="F84" s="73"/>
    </row>
    <row r="85" spans="1:6" x14ac:dyDescent="0.3">
      <c r="A85" s="70" t="s">
        <v>108</v>
      </c>
      <c r="B85" s="74" t="s">
        <v>80</v>
      </c>
      <c r="C85" s="155">
        <f>C42*C36*C82*C34</f>
        <v>1689578.2784519999</v>
      </c>
      <c r="D85" s="74"/>
      <c r="E85" s="73"/>
      <c r="F85" s="73"/>
    </row>
    <row r="86" spans="1:6" x14ac:dyDescent="0.3">
      <c r="A86" s="70" t="s">
        <v>109</v>
      </c>
      <c r="B86" s="74" t="s">
        <v>80</v>
      </c>
      <c r="C86" s="155">
        <f>C43*C36*C82*C34</f>
        <v>1708163.6395149715</v>
      </c>
      <c r="D86" s="74"/>
      <c r="E86" s="73"/>
      <c r="F86" s="73"/>
    </row>
    <row r="87" spans="1:6" x14ac:dyDescent="0.3">
      <c r="A87" s="70" t="s">
        <v>110</v>
      </c>
      <c r="B87" s="74" t="s">
        <v>80</v>
      </c>
      <c r="C87" s="155">
        <f>C44*C36*C82*C34</f>
        <v>1726953.4395496361</v>
      </c>
      <c r="D87" s="74"/>
      <c r="E87" s="73"/>
      <c r="F87" s="73"/>
    </row>
    <row r="88" spans="1:6" ht="24" x14ac:dyDescent="0.3">
      <c r="A88" s="70" t="s">
        <v>174</v>
      </c>
      <c r="B88" s="74" t="s">
        <v>80</v>
      </c>
      <c r="C88" s="155">
        <f>C39*C83</f>
        <v>1322409.6000000001</v>
      </c>
      <c r="D88" s="74" t="s">
        <v>31</v>
      </c>
      <c r="E88" s="73" t="s">
        <v>71</v>
      </c>
      <c r="F88" s="73"/>
    </row>
    <row r="89" spans="1:6" x14ac:dyDescent="0.3">
      <c r="A89" s="70" t="s">
        <v>111</v>
      </c>
      <c r="B89" s="74" t="s">
        <v>80</v>
      </c>
      <c r="C89" s="155">
        <f>C39*C84</f>
        <v>1336956.1056000001</v>
      </c>
      <c r="D89" s="74"/>
      <c r="E89" s="73"/>
      <c r="F89" s="73"/>
    </row>
    <row r="90" spans="1:6" x14ac:dyDescent="0.3">
      <c r="A90" s="70" t="s">
        <v>175</v>
      </c>
      <c r="B90" s="74" t="s">
        <v>80</v>
      </c>
      <c r="C90" s="155">
        <f>C39*C85</f>
        <v>1351662.6227616</v>
      </c>
      <c r="D90" s="74"/>
      <c r="E90" s="73"/>
      <c r="F90" s="73"/>
    </row>
    <row r="91" spans="1:6" x14ac:dyDescent="0.3">
      <c r="A91" s="70" t="s">
        <v>176</v>
      </c>
      <c r="B91" s="74" t="s">
        <v>80</v>
      </c>
      <c r="C91" s="155">
        <f>C39*C86</f>
        <v>1366530.9116119773</v>
      </c>
      <c r="D91" s="74"/>
      <c r="E91" s="73"/>
      <c r="F91" s="73"/>
    </row>
    <row r="92" spans="1:6" x14ac:dyDescent="0.3">
      <c r="A92" s="70" t="s">
        <v>177</v>
      </c>
      <c r="B92" s="74" t="s">
        <v>80</v>
      </c>
      <c r="C92" s="155">
        <f>C39*C87</f>
        <v>1381562.7516397089</v>
      </c>
      <c r="D92" s="74"/>
      <c r="E92" s="73"/>
      <c r="F92" s="73"/>
    </row>
    <row r="93" spans="1:6" ht="24" x14ac:dyDescent="0.3">
      <c r="A93" s="70" t="s">
        <v>178</v>
      </c>
      <c r="B93" s="74" t="s">
        <v>80</v>
      </c>
      <c r="C93" s="155">
        <f>C83*(1-C39)</f>
        <v>330602.39999999991</v>
      </c>
      <c r="D93" s="74" t="s">
        <v>31</v>
      </c>
      <c r="E93" s="73" t="s">
        <v>73</v>
      </c>
      <c r="F93" s="73"/>
    </row>
    <row r="94" spans="1:6" x14ac:dyDescent="0.3">
      <c r="A94" s="70" t="s">
        <v>112</v>
      </c>
      <c r="B94" s="74" t="s">
        <v>80</v>
      </c>
      <c r="C94" s="155">
        <f>C84*(1-C39)</f>
        <v>334239.02639999992</v>
      </c>
      <c r="D94" s="74"/>
      <c r="E94" s="73"/>
      <c r="F94" s="73"/>
    </row>
    <row r="95" spans="1:6" x14ac:dyDescent="0.3">
      <c r="A95" s="70" t="s">
        <v>180</v>
      </c>
      <c r="B95" s="74" t="s">
        <v>80</v>
      </c>
      <c r="C95" s="155">
        <f>C85*(1-C39)</f>
        <v>337915.65569039993</v>
      </c>
      <c r="D95" s="74"/>
      <c r="E95" s="73"/>
      <c r="F95" s="73"/>
    </row>
    <row r="96" spans="1:6" x14ac:dyDescent="0.3">
      <c r="A96" s="70" t="s">
        <v>198</v>
      </c>
      <c r="B96" s="74" t="s">
        <v>80</v>
      </c>
      <c r="C96" s="155">
        <f>C86*(1-C39)</f>
        <v>341632.7279029942</v>
      </c>
      <c r="D96" s="74"/>
      <c r="E96" s="73"/>
      <c r="F96" s="73"/>
    </row>
    <row r="97" spans="1:6" x14ac:dyDescent="0.3">
      <c r="A97" s="70" t="s">
        <v>113</v>
      </c>
      <c r="B97" s="74" t="s">
        <v>80</v>
      </c>
      <c r="C97" s="155">
        <f>C87*(1-C39)</f>
        <v>345390.68790992716</v>
      </c>
      <c r="D97" s="74"/>
      <c r="E97" s="73"/>
      <c r="F97" s="73"/>
    </row>
    <row r="98" spans="1:6" x14ac:dyDescent="0.3">
      <c r="A98" s="70"/>
      <c r="B98" s="74"/>
      <c r="C98" s="176"/>
      <c r="D98" s="74"/>
      <c r="E98" s="73"/>
      <c r="F98" s="73"/>
    </row>
    <row r="99" spans="1:6" s="23" customFormat="1" x14ac:dyDescent="0.3">
      <c r="A99" s="22" t="s">
        <v>152</v>
      </c>
      <c r="C99" s="26"/>
      <c r="E99" s="24"/>
      <c r="F99" s="24"/>
    </row>
    <row r="100" spans="1:6" x14ac:dyDescent="0.3">
      <c r="A100" s="84" t="s">
        <v>151</v>
      </c>
      <c r="B100" s="80" t="s">
        <v>118</v>
      </c>
      <c r="C100" s="200">
        <v>0.1</v>
      </c>
      <c r="D100" s="80"/>
      <c r="E100" s="73"/>
      <c r="F100" s="73"/>
    </row>
    <row r="101" spans="1:6" x14ac:dyDescent="0.3">
      <c r="A101" s="84" t="s">
        <v>153</v>
      </c>
      <c r="B101" s="80"/>
      <c r="C101" s="82"/>
      <c r="D101" s="80"/>
      <c r="E101" s="73"/>
      <c r="F101" s="73"/>
    </row>
    <row r="102" spans="1:6" x14ac:dyDescent="0.3">
      <c r="A102" s="84" t="s">
        <v>146</v>
      </c>
      <c r="B102" s="80" t="s">
        <v>118</v>
      </c>
      <c r="C102" s="139">
        <f>1/(1+C100)^1</f>
        <v>0.90909090909090906</v>
      </c>
      <c r="D102" s="80"/>
      <c r="E102" s="73"/>
      <c r="F102" s="73"/>
    </row>
    <row r="103" spans="1:6" x14ac:dyDescent="0.3">
      <c r="A103" s="84" t="s">
        <v>147</v>
      </c>
      <c r="B103" s="80" t="s">
        <v>118</v>
      </c>
      <c r="C103" s="139">
        <f>1/(1+C100)^2</f>
        <v>0.82644628099173545</v>
      </c>
      <c r="D103" s="80"/>
      <c r="E103" s="73"/>
      <c r="F103" s="73"/>
    </row>
    <row r="104" spans="1:6" x14ac:dyDescent="0.3">
      <c r="A104" s="84" t="s">
        <v>148</v>
      </c>
      <c r="B104" s="80" t="s">
        <v>118</v>
      </c>
      <c r="C104" s="139">
        <f>1/(1+C100)^3</f>
        <v>0.75131480090157754</v>
      </c>
      <c r="D104" s="80"/>
      <c r="E104" s="73"/>
      <c r="F104" s="73"/>
    </row>
    <row r="105" spans="1:6" x14ac:dyDescent="0.3">
      <c r="A105" s="84" t="s">
        <v>149</v>
      </c>
      <c r="B105" s="80" t="s">
        <v>118</v>
      </c>
      <c r="C105" s="139">
        <f>1/(1+C100)^4</f>
        <v>0.68301345536507052</v>
      </c>
      <c r="D105" s="80"/>
      <c r="E105" s="73"/>
      <c r="F105" s="73"/>
    </row>
    <row r="106" spans="1:6" x14ac:dyDescent="0.3">
      <c r="A106" s="84" t="s">
        <v>150</v>
      </c>
      <c r="B106" s="80" t="s">
        <v>118</v>
      </c>
      <c r="C106" s="139">
        <f>1/(1+C100)^5</f>
        <v>0.62092132305915493</v>
      </c>
      <c r="D106" s="80"/>
      <c r="E106" s="73"/>
      <c r="F106" s="73"/>
    </row>
    <row r="107" spans="1:6" x14ac:dyDescent="0.3">
      <c r="A107" s="84"/>
      <c r="B107" s="80"/>
      <c r="C107" s="139"/>
      <c r="D107" s="80"/>
      <c r="E107" s="73"/>
      <c r="F107" s="73"/>
    </row>
    <row r="108" spans="1:6" x14ac:dyDescent="0.3">
      <c r="A108" s="46" t="s">
        <v>49</v>
      </c>
      <c r="B108" s="46"/>
      <c r="C108" s="68"/>
      <c r="D108" s="46"/>
      <c r="E108" s="55"/>
      <c r="F108" s="55"/>
    </row>
    <row r="109" spans="1:6" x14ac:dyDescent="0.3">
      <c r="A109" s="7" t="s">
        <v>455</v>
      </c>
      <c r="B109" s="5"/>
      <c r="C109" s="25"/>
      <c r="D109" s="5"/>
      <c r="E109" s="5"/>
      <c r="F109" s="18"/>
    </row>
    <row r="110" spans="1:6" x14ac:dyDescent="0.3">
      <c r="A110" s="84" t="s">
        <v>437</v>
      </c>
      <c r="B110" s="71" t="s">
        <v>430</v>
      </c>
      <c r="C110" s="78">
        <f>C20*C21</f>
        <v>77154</v>
      </c>
      <c r="D110" s="71"/>
      <c r="E110" s="71"/>
      <c r="F110" s="73"/>
    </row>
    <row r="111" spans="1:6" x14ac:dyDescent="0.3">
      <c r="A111" s="84" t="s">
        <v>424</v>
      </c>
      <c r="B111" s="71" t="s">
        <v>429</v>
      </c>
      <c r="C111" s="78">
        <f>C40*C$34*C$72</f>
        <v>102829.33884</v>
      </c>
      <c r="D111" s="71"/>
      <c r="E111" s="71"/>
      <c r="F111" s="73"/>
    </row>
    <row r="112" spans="1:6" x14ac:dyDescent="0.3">
      <c r="A112" s="84" t="s">
        <v>425</v>
      </c>
      <c r="B112" s="71" t="s">
        <v>429</v>
      </c>
      <c r="C112" s="78">
        <f t="shared" ref="C112:C120" si="3">C41*C$34*C$72</f>
        <v>103960.46156724</v>
      </c>
      <c r="D112" s="71"/>
      <c r="E112" s="71"/>
      <c r="F112" s="73"/>
    </row>
    <row r="113" spans="1:6" x14ac:dyDescent="0.3">
      <c r="A113" s="84" t="s">
        <v>426</v>
      </c>
      <c r="B113" s="71" t="s">
        <v>429</v>
      </c>
      <c r="C113" s="78">
        <f t="shared" si="3"/>
        <v>105104.02664447963</v>
      </c>
      <c r="D113" s="71"/>
      <c r="E113" s="71"/>
      <c r="F113" s="73"/>
    </row>
    <row r="114" spans="1:6" x14ac:dyDescent="0.3">
      <c r="A114" s="84" t="s">
        <v>427</v>
      </c>
      <c r="B114" s="71" t="s">
        <v>429</v>
      </c>
      <c r="C114" s="78">
        <f t="shared" si="3"/>
        <v>106260.17093756888</v>
      </c>
      <c r="D114" s="71"/>
      <c r="E114" s="71"/>
      <c r="F114" s="73"/>
    </row>
    <row r="115" spans="1:6" x14ac:dyDescent="0.3">
      <c r="A115" s="84" t="s">
        <v>428</v>
      </c>
      <c r="B115" s="71" t="s">
        <v>429</v>
      </c>
      <c r="C115" s="78">
        <f t="shared" si="3"/>
        <v>107429.03281788214</v>
      </c>
      <c r="D115" s="71"/>
      <c r="E115" s="71"/>
      <c r="F115" s="73"/>
    </row>
    <row r="116" spans="1:6" x14ac:dyDescent="0.3">
      <c r="A116" s="84" t="s">
        <v>475</v>
      </c>
      <c r="B116" s="71" t="s">
        <v>429</v>
      </c>
      <c r="C116" s="78">
        <f t="shared" si="3"/>
        <v>108610.75217887883</v>
      </c>
      <c r="D116" s="71"/>
      <c r="E116" s="71"/>
      <c r="F116" s="73"/>
    </row>
    <row r="117" spans="1:6" x14ac:dyDescent="0.3">
      <c r="A117" s="84" t="s">
        <v>476</v>
      </c>
      <c r="B117" s="71" t="s">
        <v>429</v>
      </c>
      <c r="C117" s="78">
        <f t="shared" si="3"/>
        <v>109805.47045284649</v>
      </c>
      <c r="D117" s="71"/>
      <c r="E117" s="71"/>
      <c r="F117" s="73"/>
    </row>
    <row r="118" spans="1:6" x14ac:dyDescent="0.3">
      <c r="A118" s="84" t="s">
        <v>477</v>
      </c>
      <c r="B118" s="71" t="s">
        <v>429</v>
      </c>
      <c r="C118" s="78">
        <f t="shared" si="3"/>
        <v>111013.33062782779</v>
      </c>
      <c r="D118" s="71"/>
      <c r="E118" s="71"/>
      <c r="F118" s="73"/>
    </row>
    <row r="119" spans="1:6" x14ac:dyDescent="0.3">
      <c r="A119" s="84" t="s">
        <v>478</v>
      </c>
      <c r="B119" s="71" t="s">
        <v>429</v>
      </c>
      <c r="C119" s="78">
        <f t="shared" si="3"/>
        <v>112234.4772647339</v>
      </c>
      <c r="D119" s="71"/>
      <c r="E119" s="71"/>
      <c r="F119" s="73"/>
    </row>
    <row r="120" spans="1:6" x14ac:dyDescent="0.3">
      <c r="A120" s="84" t="s">
        <v>479</v>
      </c>
      <c r="B120" s="71" t="s">
        <v>429</v>
      </c>
      <c r="C120" s="78">
        <f t="shared" si="3"/>
        <v>113469.05651464594</v>
      </c>
      <c r="D120" s="71"/>
      <c r="E120" s="71"/>
      <c r="F120" s="73"/>
    </row>
    <row r="121" spans="1:6" x14ac:dyDescent="0.3">
      <c r="A121" s="70" t="s">
        <v>422</v>
      </c>
      <c r="B121" s="71" t="s">
        <v>429</v>
      </c>
      <c r="C121" s="78">
        <f>SUM(C111:C120)</f>
        <v>1080716.1178461036</v>
      </c>
      <c r="D121" s="247"/>
      <c r="E121" s="71"/>
      <c r="F121" s="73"/>
    </row>
    <row r="122" spans="1:6" x14ac:dyDescent="0.3">
      <c r="A122" s="70" t="s">
        <v>423</v>
      </c>
      <c r="B122" s="71" t="s">
        <v>429</v>
      </c>
      <c r="C122" s="78">
        <f>C110*C22</f>
        <v>13116.18</v>
      </c>
      <c r="D122" s="71"/>
      <c r="E122" s="71"/>
      <c r="F122" s="73"/>
    </row>
    <row r="123" spans="1:6" x14ac:dyDescent="0.3">
      <c r="A123" s="70" t="s">
        <v>456</v>
      </c>
      <c r="B123" s="71" t="s">
        <v>429</v>
      </c>
      <c r="C123" s="78">
        <f>C110+C121-C122</f>
        <v>1144753.9378461037</v>
      </c>
      <c r="D123" s="71"/>
      <c r="E123" s="71"/>
      <c r="F123" s="73"/>
    </row>
    <row r="124" spans="1:6" x14ac:dyDescent="0.3">
      <c r="A124" s="70" t="s">
        <v>457</v>
      </c>
      <c r="B124" s="71" t="s">
        <v>431</v>
      </c>
      <c r="C124" s="248">
        <f>C123/((C32+C33)*C34*C35*C23)</f>
        <v>1.1434471411134024</v>
      </c>
      <c r="D124" s="71"/>
      <c r="E124" s="71"/>
      <c r="F124" s="73"/>
    </row>
    <row r="125" spans="1:6" x14ac:dyDescent="0.3">
      <c r="A125" s="80"/>
      <c r="B125" s="80"/>
      <c r="C125" s="132"/>
      <c r="D125" s="80"/>
      <c r="E125" s="73"/>
      <c r="F125" s="73"/>
    </row>
    <row r="126" spans="1:6" x14ac:dyDescent="0.3">
      <c r="A126" s="50" t="s">
        <v>1</v>
      </c>
      <c r="B126" s="51" t="s">
        <v>50</v>
      </c>
      <c r="C126" s="69"/>
      <c r="D126" s="51"/>
      <c r="E126" s="51"/>
      <c r="F126" s="57"/>
    </row>
    <row r="127" spans="1:6" x14ac:dyDescent="0.3">
      <c r="A127" s="70" t="s">
        <v>117</v>
      </c>
      <c r="B127" s="71" t="s">
        <v>11</v>
      </c>
      <c r="C127" s="125">
        <v>5</v>
      </c>
      <c r="D127" s="71"/>
      <c r="E127" s="73"/>
      <c r="F127" s="73"/>
    </row>
    <row r="128" spans="1:6" x14ac:dyDescent="0.3">
      <c r="A128" s="84" t="s">
        <v>385</v>
      </c>
      <c r="B128" s="84" t="s">
        <v>14</v>
      </c>
      <c r="C128" s="220">
        <f>C19</f>
        <v>151458.23815134444</v>
      </c>
      <c r="D128" s="126"/>
      <c r="E128" s="87"/>
      <c r="F128" s="87"/>
    </row>
    <row r="129" spans="1:6" x14ac:dyDescent="0.3">
      <c r="A129" s="84" t="s">
        <v>406</v>
      </c>
      <c r="B129" s="84" t="s">
        <v>14</v>
      </c>
      <c r="C129" s="86">
        <f>(C8*(1-C9)^C127-C10*(C32+C33)*C34*C127)*C106</f>
        <v>31400.067176878496</v>
      </c>
      <c r="D129" s="84"/>
      <c r="E129" s="87"/>
      <c r="F129" s="87"/>
    </row>
    <row r="130" spans="1:6" x14ac:dyDescent="0.3">
      <c r="A130" s="84" t="s">
        <v>386</v>
      </c>
      <c r="B130" s="84" t="s">
        <v>14</v>
      </c>
      <c r="C130" s="86">
        <f>(C26+C28+C27+C34*C70*C71)*SUM(C102:C106)</f>
        <v>218841.51367206656</v>
      </c>
      <c r="D130" s="84"/>
      <c r="E130" s="87"/>
      <c r="F130" s="87"/>
    </row>
    <row r="131" spans="1:6" x14ac:dyDescent="0.3">
      <c r="A131" s="80"/>
      <c r="B131" s="80"/>
      <c r="C131" s="132"/>
      <c r="D131" s="80"/>
      <c r="E131" s="73"/>
      <c r="F131" s="73"/>
    </row>
    <row r="132" spans="1:6" x14ac:dyDescent="0.3">
      <c r="A132" s="7" t="s">
        <v>401</v>
      </c>
      <c r="B132" s="5"/>
      <c r="C132" s="25"/>
      <c r="D132" s="5"/>
      <c r="E132" s="5"/>
      <c r="F132" s="18"/>
    </row>
    <row r="133" spans="1:6" x14ac:dyDescent="0.3">
      <c r="A133" s="7" t="s">
        <v>402</v>
      </c>
      <c r="B133" s="5"/>
      <c r="C133" s="25"/>
      <c r="D133" s="5"/>
      <c r="E133" s="5"/>
      <c r="F133" s="18"/>
    </row>
    <row r="134" spans="1:6" s="80" customFormat="1" x14ac:dyDescent="0.3">
      <c r="A134" s="70" t="s">
        <v>183</v>
      </c>
      <c r="B134" s="80" t="s">
        <v>14</v>
      </c>
      <c r="C134" s="155">
        <f>C88*C$76/C$82*C102</f>
        <v>5657.3672727272724</v>
      </c>
      <c r="D134" s="71"/>
      <c r="E134" s="71"/>
      <c r="F134" s="73"/>
    </row>
    <row r="135" spans="1:6" s="80" customFormat="1" x14ac:dyDescent="0.3">
      <c r="A135" s="70" t="s">
        <v>184</v>
      </c>
      <c r="B135" s="80" t="s">
        <v>14</v>
      </c>
      <c r="C135" s="155">
        <f t="shared" ref="C135:C138" si="4">C89*C$76/C$82*C103</f>
        <v>5199.6348297520663</v>
      </c>
      <c r="D135" s="71"/>
      <c r="E135" s="71"/>
      <c r="F135" s="73"/>
    </row>
    <row r="136" spans="1:6" s="80" customFormat="1" x14ac:dyDescent="0.3">
      <c r="A136" s="70" t="s">
        <v>185</v>
      </c>
      <c r="B136" s="80" t="s">
        <v>14</v>
      </c>
      <c r="C136" s="155">
        <f t="shared" si="4"/>
        <v>4778.9371026175795</v>
      </c>
      <c r="D136" s="71"/>
      <c r="E136" s="71"/>
      <c r="F136" s="73"/>
    </row>
    <row r="137" spans="1:6" s="80" customFormat="1" x14ac:dyDescent="0.3">
      <c r="A137" s="70" t="s">
        <v>186</v>
      </c>
      <c r="B137" s="80" t="s">
        <v>14</v>
      </c>
      <c r="C137" s="155">
        <f t="shared" si="4"/>
        <v>4392.277646133065</v>
      </c>
      <c r="D137" s="71"/>
      <c r="E137" s="71"/>
      <c r="F137" s="73"/>
    </row>
    <row r="138" spans="1:6" s="80" customFormat="1" x14ac:dyDescent="0.3">
      <c r="A138" s="70" t="s">
        <v>187</v>
      </c>
      <c r="B138" s="80" t="s">
        <v>14</v>
      </c>
      <c r="C138" s="155">
        <f t="shared" si="4"/>
        <v>4036.9024547641161</v>
      </c>
      <c r="D138" s="71"/>
      <c r="E138" s="71"/>
      <c r="F138" s="73"/>
    </row>
    <row r="139" spans="1:6" s="80" customFormat="1" x14ac:dyDescent="0.3">
      <c r="A139" s="214" t="s">
        <v>390</v>
      </c>
      <c r="B139" s="214" t="s">
        <v>14</v>
      </c>
      <c r="C139" s="217">
        <f>SUM(C134:C138)</f>
        <v>24065.1193059941</v>
      </c>
      <c r="D139" s="71"/>
      <c r="E139" s="71"/>
      <c r="F139" s="73"/>
    </row>
    <row r="140" spans="1:6" x14ac:dyDescent="0.3">
      <c r="A140" s="7" t="s">
        <v>403</v>
      </c>
      <c r="B140" s="5"/>
      <c r="C140" s="25"/>
      <c r="D140" s="5"/>
      <c r="E140" s="5"/>
      <c r="F140" s="18"/>
    </row>
    <row r="141" spans="1:6" x14ac:dyDescent="0.3">
      <c r="A141" s="80" t="s">
        <v>130</v>
      </c>
      <c r="B141" s="80" t="s">
        <v>14</v>
      </c>
      <c r="C141" s="132">
        <f>C80*C40*C39*C34*C102</f>
        <v>24750.981818181819</v>
      </c>
      <c r="D141" s="80">
        <f>C80*C39</f>
        <v>0.84000000000000008</v>
      </c>
      <c r="E141" s="73">
        <f>D141*0.35</f>
        <v>0.29399999999999998</v>
      </c>
      <c r="F141" s="73"/>
    </row>
    <row r="142" spans="1:6" x14ac:dyDescent="0.3">
      <c r="A142" s="80" t="s">
        <v>131</v>
      </c>
      <c r="B142" s="80" t="s">
        <v>129</v>
      </c>
      <c r="C142" s="132">
        <f>C81*C40*(1-C39)*C34*C102</f>
        <v>8721.774545454542</v>
      </c>
      <c r="D142" s="80">
        <f>C81*(1-C39)</f>
        <v>0.29599999999999993</v>
      </c>
      <c r="E142" s="73">
        <f>D142*0.35</f>
        <v>0.10359999999999997</v>
      </c>
      <c r="F142" s="73"/>
    </row>
    <row r="143" spans="1:6" x14ac:dyDescent="0.3">
      <c r="A143" s="80" t="s">
        <v>134</v>
      </c>
      <c r="B143" s="80" t="s">
        <v>14</v>
      </c>
      <c r="C143" s="132">
        <f>C80*C41*C39*C34*C103</f>
        <v>22748.402380165287</v>
      </c>
      <c r="D143" s="80"/>
      <c r="E143" s="73"/>
      <c r="F143" s="73"/>
    </row>
    <row r="144" spans="1:6" x14ac:dyDescent="0.3">
      <c r="A144" s="80" t="s">
        <v>135</v>
      </c>
      <c r="B144" s="80" t="s">
        <v>129</v>
      </c>
      <c r="C144" s="132">
        <f>C81*C41*(1-C39)*C34*C103</f>
        <v>8016.1036958677669</v>
      </c>
      <c r="D144" s="80"/>
      <c r="E144" s="73"/>
      <c r="F144" s="73"/>
    </row>
    <row r="145" spans="1:6" x14ac:dyDescent="0.3">
      <c r="A145" s="80" t="s">
        <v>136</v>
      </c>
      <c r="B145" s="80" t="s">
        <v>14</v>
      </c>
      <c r="C145" s="132">
        <f>C80*C42*C39*C34*C104</f>
        <v>20907.84982395191</v>
      </c>
      <c r="D145" s="80"/>
      <c r="E145" s="73"/>
      <c r="F145" s="73"/>
    </row>
    <row r="146" spans="1:6" x14ac:dyDescent="0.3">
      <c r="A146" s="80" t="s">
        <v>137</v>
      </c>
      <c r="B146" s="80" t="s">
        <v>129</v>
      </c>
      <c r="C146" s="132">
        <f>C81*C42*(1-C39)*C34*C104</f>
        <v>7367.5280332021002</v>
      </c>
      <c r="D146" s="80"/>
      <c r="E146" s="73"/>
      <c r="F146" s="73"/>
    </row>
    <row r="147" spans="1:6" x14ac:dyDescent="0.3">
      <c r="A147" s="80" t="s">
        <v>138</v>
      </c>
      <c r="B147" s="80" t="s">
        <v>14</v>
      </c>
      <c r="C147" s="132">
        <f>C80*C43*C39*C34*C105</f>
        <v>19216.214701832163</v>
      </c>
      <c r="D147" s="80"/>
      <c r="E147" s="73"/>
      <c r="F147" s="73"/>
    </row>
    <row r="148" spans="1:6" x14ac:dyDescent="0.3">
      <c r="A148" s="80" t="s">
        <v>139</v>
      </c>
      <c r="B148" s="80" t="s">
        <v>129</v>
      </c>
      <c r="C148" s="132">
        <f>C81*C43*(1-C39)*C34*C105</f>
        <v>6771.4280377884725</v>
      </c>
      <c r="D148" s="80"/>
      <c r="E148" s="73"/>
      <c r="F148" s="73"/>
    </row>
    <row r="149" spans="1:6" x14ac:dyDescent="0.3">
      <c r="A149" s="80" t="s">
        <v>132</v>
      </c>
      <c r="B149" s="80" t="s">
        <v>14</v>
      </c>
      <c r="C149" s="132">
        <f>C80*C44*C39*C34*C106</f>
        <v>17661.448239593014</v>
      </c>
      <c r="D149" s="80"/>
      <c r="E149" s="73"/>
      <c r="F149" s="73"/>
    </row>
    <row r="150" spans="1:6" x14ac:dyDescent="0.3">
      <c r="A150" s="80" t="s">
        <v>133</v>
      </c>
      <c r="B150" s="80" t="s">
        <v>14</v>
      </c>
      <c r="C150" s="132">
        <f>C81*C44*(1-C39)*C34*C106</f>
        <v>6223.5579510946782</v>
      </c>
      <c r="D150" s="80"/>
      <c r="E150" s="73"/>
      <c r="F150" s="73"/>
    </row>
    <row r="151" spans="1:6" x14ac:dyDescent="0.3">
      <c r="A151" s="133" t="s">
        <v>404</v>
      </c>
      <c r="B151" s="133" t="s">
        <v>14</v>
      </c>
      <c r="C151" s="134">
        <f>SUM(C141:C150)</f>
        <v>142385.28922713175</v>
      </c>
      <c r="D151" s="84"/>
      <c r="E151" s="87"/>
      <c r="F151" s="87"/>
    </row>
    <row r="152" spans="1:6" x14ac:dyDescent="0.3">
      <c r="A152" s="80"/>
      <c r="B152" s="80"/>
      <c r="C152" s="132"/>
      <c r="D152" s="80"/>
      <c r="E152" s="73"/>
      <c r="F152" s="73"/>
    </row>
    <row r="153" spans="1:6" ht="12" customHeight="1" x14ac:dyDescent="0.3">
      <c r="A153" s="7" t="s">
        <v>405</v>
      </c>
      <c r="B153" s="7"/>
      <c r="C153" s="25"/>
      <c r="D153" s="5"/>
      <c r="E153" s="5"/>
      <c r="F153" s="18"/>
    </row>
    <row r="154" spans="1:6" x14ac:dyDescent="0.3">
      <c r="A154" s="84" t="s">
        <v>95</v>
      </c>
      <c r="B154" s="84" t="s">
        <v>51</v>
      </c>
      <c r="C154" s="122">
        <f>(C128-C129)+C139+C130+C151</f>
        <v>505350.09317965835</v>
      </c>
      <c r="D154" s="80"/>
      <c r="E154" s="83"/>
      <c r="F154" s="87"/>
    </row>
    <row r="155" spans="1:6" x14ac:dyDescent="0.3">
      <c r="A155" s="84" t="s">
        <v>52</v>
      </c>
      <c r="B155" s="84" t="s">
        <v>53</v>
      </c>
      <c r="C155" s="122">
        <f>C154/C127</f>
        <v>101070.01863593167</v>
      </c>
      <c r="D155" s="80"/>
      <c r="E155" s="83"/>
      <c r="F155" s="87"/>
    </row>
    <row r="156" spans="1:6" x14ac:dyDescent="0.3">
      <c r="A156" s="84" t="s">
        <v>54</v>
      </c>
      <c r="B156" s="84" t="s">
        <v>55</v>
      </c>
      <c r="C156" s="122">
        <f>C154/((C32+C33)*C34*C127)</f>
        <v>1.0095464190232899</v>
      </c>
      <c r="D156" s="80"/>
      <c r="E156" s="83"/>
      <c r="F156" s="87"/>
    </row>
    <row r="157" spans="1:6" x14ac:dyDescent="0.3">
      <c r="A157" s="80"/>
      <c r="B157" s="80"/>
      <c r="C157" s="132"/>
      <c r="D157" s="80"/>
      <c r="E157" s="73"/>
      <c r="F157" s="73"/>
    </row>
    <row r="158" spans="1:6" x14ac:dyDescent="0.3">
      <c r="A158" s="61" t="s">
        <v>141</v>
      </c>
      <c r="B158" s="61"/>
      <c r="C158" s="62"/>
      <c r="D158" s="61"/>
      <c r="E158" s="63"/>
      <c r="F158" s="63"/>
    </row>
    <row r="159" spans="1:6" x14ac:dyDescent="0.3">
      <c r="A159" s="18" t="s">
        <v>142</v>
      </c>
      <c r="B159" s="18"/>
      <c r="C159" s="18"/>
      <c r="D159" s="18"/>
      <c r="E159" s="18"/>
      <c r="F159" s="18"/>
    </row>
    <row r="160" spans="1:6" x14ac:dyDescent="0.3">
      <c r="A160" s="84" t="s">
        <v>95</v>
      </c>
      <c r="B160" s="84" t="s">
        <v>144</v>
      </c>
      <c r="C160" s="138">
        <f>'BET-S(5)LCE'!C166</f>
        <v>-3790.6971913562156</v>
      </c>
      <c r="D160" s="80"/>
      <c r="E160" s="73"/>
      <c r="F160" s="73"/>
    </row>
    <row r="161" spans="1:6" x14ac:dyDescent="0.3">
      <c r="A161" s="84" t="s">
        <v>140</v>
      </c>
      <c r="B161" s="84" t="s">
        <v>19</v>
      </c>
      <c r="C161" s="138">
        <f>'BET-S(5)LCE'!C167</f>
        <v>-758.13943827124604</v>
      </c>
      <c r="D161" s="80"/>
      <c r="E161" s="73"/>
      <c r="F161" s="73"/>
    </row>
    <row r="162" spans="1:6" x14ac:dyDescent="0.3">
      <c r="A162" s="84" t="s">
        <v>54</v>
      </c>
      <c r="B162" s="84" t="s">
        <v>55</v>
      </c>
      <c r="C162" s="138">
        <f>'BET-S(5)LCE'!C168</f>
        <v>-7.5727398229148424E-3</v>
      </c>
      <c r="D162" s="80"/>
      <c r="E162" s="73"/>
      <c r="F162" s="73"/>
    </row>
    <row r="163" spans="1:6" x14ac:dyDescent="0.3">
      <c r="A163" s="84"/>
      <c r="B163" s="80"/>
      <c r="C163" s="89"/>
      <c r="D163" s="80"/>
      <c r="E163" s="73"/>
      <c r="F163" s="73"/>
    </row>
    <row r="164" spans="1:6" x14ac:dyDescent="0.3">
      <c r="A164" s="18" t="s">
        <v>143</v>
      </c>
      <c r="B164" s="18"/>
      <c r="C164" s="18"/>
      <c r="D164" s="18"/>
      <c r="E164" s="18"/>
      <c r="F164" s="18"/>
    </row>
    <row r="165" spans="1:6" x14ac:dyDescent="0.3">
      <c r="A165" s="84" t="s">
        <v>95</v>
      </c>
      <c r="B165" s="84" t="s">
        <v>144</v>
      </c>
      <c r="C165" s="122">
        <f>'BET-S(5)LCE'!C161</f>
        <v>84817.944817403506</v>
      </c>
      <c r="D165" s="80"/>
      <c r="E165" s="73"/>
      <c r="F165" s="73"/>
    </row>
    <row r="166" spans="1:6" x14ac:dyDescent="0.3">
      <c r="A166" s="84" t="s">
        <v>140</v>
      </c>
      <c r="B166" s="84" t="s">
        <v>19</v>
      </c>
      <c r="C166" s="122">
        <f>'BET-S(5)LCE'!C162</f>
        <v>16963.588963480695</v>
      </c>
      <c r="D166" s="80"/>
      <c r="E166" s="73"/>
      <c r="F166" s="73"/>
    </row>
    <row r="167" spans="1:6" x14ac:dyDescent="0.3">
      <c r="A167" s="84" t="s">
        <v>54</v>
      </c>
      <c r="B167" s="84" t="s">
        <v>55</v>
      </c>
      <c r="C167" s="122">
        <f>'BET-S(5)LCE'!C163</f>
        <v>0.16944224135896824</v>
      </c>
      <c r="D167" s="80"/>
      <c r="E167" s="73"/>
      <c r="F167" s="73"/>
    </row>
    <row r="168" spans="1:6" x14ac:dyDescent="0.3">
      <c r="A168" s="84"/>
      <c r="B168" s="84"/>
      <c r="C168" s="122"/>
      <c r="D168" s="80"/>
      <c r="E168" s="73"/>
      <c r="F168" s="73"/>
    </row>
    <row r="169" spans="1:6" x14ac:dyDescent="0.3">
      <c r="A169" s="18" t="s">
        <v>243</v>
      </c>
      <c r="B169" s="18"/>
      <c r="C169" s="18"/>
      <c r="D169" s="18"/>
      <c r="E169" s="18"/>
      <c r="F169" s="18"/>
    </row>
    <row r="170" spans="1:6" x14ac:dyDescent="0.3">
      <c r="A170" s="84" t="s">
        <v>95</v>
      </c>
      <c r="B170" s="84" t="s">
        <v>144</v>
      </c>
      <c r="C170" s="122">
        <f>'BET-S(5)LCE'!C171</f>
        <v>0</v>
      </c>
      <c r="D170" s="80"/>
      <c r="E170" s="73"/>
      <c r="F170" s="73"/>
    </row>
    <row r="171" spans="1:6" x14ac:dyDescent="0.3">
      <c r="A171" s="84" t="s">
        <v>140</v>
      </c>
      <c r="B171" s="84" t="s">
        <v>19</v>
      </c>
      <c r="C171" s="122">
        <f>'BET-S(5)LCE'!C172</f>
        <v>0</v>
      </c>
      <c r="D171" s="80"/>
      <c r="E171" s="73"/>
      <c r="F171" s="73"/>
    </row>
    <row r="172" spans="1:6" x14ac:dyDescent="0.3">
      <c r="A172" s="84" t="s">
        <v>54</v>
      </c>
      <c r="B172" s="84" t="s">
        <v>55</v>
      </c>
      <c r="C172" s="122">
        <f>'BET-S(5)LCE'!C173</f>
        <v>0</v>
      </c>
      <c r="D172" s="80"/>
      <c r="E172" s="73"/>
      <c r="F172" s="73"/>
    </row>
    <row r="173" spans="1:6" x14ac:dyDescent="0.3">
      <c r="A173" s="84"/>
      <c r="B173" s="84"/>
      <c r="C173" s="139"/>
      <c r="D173" s="84"/>
      <c r="E173" s="87"/>
      <c r="F173" s="87"/>
    </row>
    <row r="174" spans="1:6" x14ac:dyDescent="0.3">
      <c r="A174" s="7" t="s">
        <v>360</v>
      </c>
      <c r="B174" s="5"/>
      <c r="C174" s="25"/>
      <c r="D174" s="5"/>
      <c r="E174" s="5"/>
      <c r="F174" s="18"/>
    </row>
    <row r="175" spans="1:6" x14ac:dyDescent="0.3">
      <c r="A175" s="70"/>
      <c r="B175" s="71"/>
      <c r="C175" s="78"/>
      <c r="D175" s="71"/>
      <c r="E175" s="71"/>
      <c r="F175" s="73"/>
    </row>
    <row r="176" spans="1:6" x14ac:dyDescent="0.3">
      <c r="A176" s="70" t="s">
        <v>119</v>
      </c>
      <c r="B176" s="74" t="s">
        <v>14</v>
      </c>
      <c r="C176" s="155">
        <v>15.78</v>
      </c>
      <c r="D176" s="74" t="s">
        <v>201</v>
      </c>
      <c r="E176" s="73"/>
      <c r="F176" s="73" t="s">
        <v>193</v>
      </c>
    </row>
    <row r="177" spans="1:6" x14ac:dyDescent="0.3">
      <c r="A177" s="70" t="s">
        <v>120</v>
      </c>
      <c r="B177" s="74" t="s">
        <v>121</v>
      </c>
      <c r="C177" s="146">
        <v>48</v>
      </c>
      <c r="D177" s="74" t="s">
        <v>201</v>
      </c>
      <c r="E177" s="73"/>
      <c r="F177" s="73"/>
    </row>
    <row r="178" spans="1:6" ht="24" x14ac:dyDescent="0.3">
      <c r="A178" s="70" t="s">
        <v>18</v>
      </c>
      <c r="B178" s="74" t="s">
        <v>19</v>
      </c>
      <c r="C178" s="78">
        <f>C34/(C177/9)*C177*C176</f>
        <v>41469.839999999997</v>
      </c>
      <c r="D178" s="74"/>
      <c r="E178" s="73" t="s">
        <v>20</v>
      </c>
      <c r="F178" s="73"/>
    </row>
    <row r="179" spans="1:6" x14ac:dyDescent="0.3">
      <c r="A179" s="80"/>
      <c r="B179" s="80"/>
      <c r="C179" s="132"/>
      <c r="D179" s="80"/>
      <c r="E179" s="73"/>
      <c r="F179" s="73"/>
    </row>
  </sheetData>
  <mergeCells count="1">
    <mergeCell ref="A4:E4"/>
  </mergeCells>
  <phoneticPr fontId="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375F-15B2-4B68-93F6-578FD1D48D29}">
  <dimension ref="A1:E9"/>
  <sheetViews>
    <sheetView workbookViewId="0">
      <selection activeCell="D18" sqref="D18"/>
    </sheetView>
  </sheetViews>
  <sheetFormatPr defaultRowHeight="14.5" x14ac:dyDescent="0.35"/>
  <cols>
    <col min="1" max="1" width="21.6328125" customWidth="1"/>
    <col min="2" max="2" width="19.26953125" customWidth="1"/>
    <col min="3" max="3" width="27.6328125" customWidth="1"/>
    <col min="4" max="4" width="18.81640625" customWidth="1"/>
    <col min="5" max="5" width="19.36328125" customWidth="1"/>
  </cols>
  <sheetData>
    <row r="1" spans="1:5" ht="15" x14ac:dyDescent="0.35">
      <c r="A1" s="252" t="s">
        <v>278</v>
      </c>
      <c r="B1" s="252"/>
      <c r="C1" s="252"/>
      <c r="D1" s="252"/>
      <c r="E1" s="252"/>
    </row>
    <row r="2" spans="1:5" x14ac:dyDescent="0.35">
      <c r="A2" s="40" t="s">
        <v>277</v>
      </c>
      <c r="B2" s="41" t="s">
        <v>271</v>
      </c>
      <c r="C2" s="40" t="s">
        <v>273</v>
      </c>
      <c r="D2" s="41" t="s">
        <v>272</v>
      </c>
      <c r="E2" s="40" t="s">
        <v>273</v>
      </c>
    </row>
    <row r="3" spans="1:5" ht="26" x14ac:dyDescent="0.35">
      <c r="A3" s="39" t="s">
        <v>275</v>
      </c>
      <c r="B3" s="42">
        <v>0.01</v>
      </c>
      <c r="C3" s="38" t="s">
        <v>282</v>
      </c>
      <c r="D3" s="45">
        <v>5.0000000000000001E-3</v>
      </c>
      <c r="E3" s="38" t="s">
        <v>281</v>
      </c>
    </row>
    <row r="4" spans="1:5" ht="26" x14ac:dyDescent="0.35">
      <c r="A4" s="39" t="s">
        <v>253</v>
      </c>
      <c r="B4" s="42">
        <v>-0.06</v>
      </c>
      <c r="C4" s="38" t="s">
        <v>284</v>
      </c>
      <c r="D4" s="42">
        <v>-0.03</v>
      </c>
      <c r="E4" s="38" t="s">
        <v>281</v>
      </c>
    </row>
    <row r="5" spans="1:5" ht="26" x14ac:dyDescent="0.35">
      <c r="A5" s="39" t="s">
        <v>128</v>
      </c>
      <c r="B5" s="42">
        <v>-0.08</v>
      </c>
      <c r="C5" s="38" t="s">
        <v>283</v>
      </c>
      <c r="D5" s="42">
        <v>-0.04</v>
      </c>
      <c r="E5" s="38" t="s">
        <v>281</v>
      </c>
    </row>
    <row r="6" spans="1:5" ht="39" x14ac:dyDescent="0.35">
      <c r="A6" s="39" t="s">
        <v>274</v>
      </c>
      <c r="B6" s="43">
        <v>-2.5999999999999999E-2</v>
      </c>
      <c r="C6" s="38" t="s">
        <v>282</v>
      </c>
      <c r="D6" s="43">
        <v>-1.2999999999999999E-2</v>
      </c>
      <c r="E6" s="38" t="s">
        <v>281</v>
      </c>
    </row>
    <row r="7" spans="1:5" ht="39" x14ac:dyDescent="0.35">
      <c r="A7" s="39" t="s">
        <v>276</v>
      </c>
      <c r="B7" s="43">
        <v>-3.1E-2</v>
      </c>
      <c r="C7" s="38" t="s">
        <v>282</v>
      </c>
      <c r="D7" s="43">
        <v>-1.4999999999999999E-2</v>
      </c>
      <c r="E7" s="38" t="s">
        <v>281</v>
      </c>
    </row>
    <row r="8" spans="1:5" ht="26" x14ac:dyDescent="0.35">
      <c r="A8" s="39" t="s">
        <v>263</v>
      </c>
      <c r="B8" s="44">
        <v>200</v>
      </c>
      <c r="C8" s="38" t="s">
        <v>280</v>
      </c>
      <c r="D8" s="44">
        <v>200</v>
      </c>
      <c r="E8" s="38" t="s">
        <v>280</v>
      </c>
    </row>
    <row r="9" spans="1:5" x14ac:dyDescent="0.35">
      <c r="A9" s="37"/>
    </row>
  </sheetData>
  <mergeCells count="1">
    <mergeCell ref="A1:E1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cc83a5-3ea3-4fd6-9c78-482abc11bc6e">U7S5KDNSERNN-2023830130-210677</_dlc_DocId>
    <_dlc_DocIdUrl xmlns="b7cc83a5-3ea3-4fd6-9c78-482abc11bc6e">
      <Url>https://aegisenergy1.sharepoint.com/sites/AegisEnergyDocumentCentre/_layouts/15/DocIdRedir.aspx?ID=U7S5KDNSERNN-2023830130-210677</Url>
      <Description>U7S5KDNSERNN-2023830130-210677</Description>
    </_dlc_DocIdUrl>
    <lcf76f155ced4ddcb4097134ff3c332f xmlns="b8fe457c-08a8-4b29-9410-3598a17229ed">
      <Terms xmlns="http://schemas.microsoft.com/office/infopath/2007/PartnerControls"/>
    </lcf76f155ced4ddcb4097134ff3c332f>
    <TaxCatchAll xmlns="b7cc83a5-3ea3-4fd6-9c78-482abc11bc6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8EE3C78E009C42948420FEB1FB0E21" ma:contentTypeVersion="15" ma:contentTypeDescription="Create a new document." ma:contentTypeScope="" ma:versionID="c6b2ad66faf0b0831799d310f25c64a2">
  <xsd:schema xmlns:xsd="http://www.w3.org/2001/XMLSchema" xmlns:xs="http://www.w3.org/2001/XMLSchema" xmlns:p="http://schemas.microsoft.com/office/2006/metadata/properties" xmlns:ns2="b7cc83a5-3ea3-4fd6-9c78-482abc11bc6e" xmlns:ns3="b8fe457c-08a8-4b29-9410-3598a17229ed" targetNamespace="http://schemas.microsoft.com/office/2006/metadata/properties" ma:root="true" ma:fieldsID="d08ed7c6e43bf0f672d7c1fc3cd9d820" ns2:_="" ns3:_="">
    <xsd:import namespace="b7cc83a5-3ea3-4fd6-9c78-482abc11bc6e"/>
    <xsd:import namespace="b8fe457c-08a8-4b29-9410-3598a17229e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MigrationSourceID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c83a5-3ea3-4fd6-9c78-482abc11bc6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igrationSourceID" ma:index="15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719fba6a-03da-44ee-be96-8a6bed25d7e9}" ma:internalName="TaxCatchAll" ma:showField="CatchAllData" ma:web="b7cc83a5-3ea3-4fd6-9c78-482abc11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457c-08a8-4b29-9410-3598a1722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a5b7c1b-982d-4f94-a3fc-4a5a21f192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8A014-F9A4-4149-B066-D3556EF77FC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3FCEED9-3A00-4577-9BDE-4220D6025D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A5368C-D4CE-446A-9417-E0A76EB1F38F}">
  <ds:schemaRefs>
    <ds:schemaRef ds:uri="http://schemas.microsoft.com/office/2006/metadata/properties"/>
    <ds:schemaRef ds:uri="http://schemas.microsoft.com/office/infopath/2007/PartnerControls"/>
    <ds:schemaRef ds:uri="b7cc83a5-3ea3-4fd6-9c78-482abc11bc6e"/>
    <ds:schemaRef ds:uri="b8fe457c-08a8-4b29-9410-3598a17229ed"/>
  </ds:schemaRefs>
</ds:datastoreItem>
</file>

<file path=customXml/itemProps4.xml><?xml version="1.0" encoding="utf-8"?>
<ds:datastoreItem xmlns:ds="http://schemas.openxmlformats.org/officeDocument/2006/customXml" ds:itemID="{82B54ACF-4A08-4DC3-8160-9B387F2F9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c83a5-3ea3-4fd6-9c78-482abc11bc6e"/>
    <ds:schemaRef ds:uri="b8fe457c-08a8-4b29-9410-3598a17229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All-in-1-sheet</vt:lpstr>
      <vt:lpstr>BET-S(5)LCE</vt:lpstr>
      <vt:lpstr>BET-C(5)LCE</vt:lpstr>
      <vt:lpstr>Diesel(5)LCE</vt:lpstr>
      <vt:lpstr>Future Dynamic Input</vt:lpstr>
      <vt:lpstr>'All-in-1-sheet'!_ftnref1</vt:lpstr>
      <vt:lpstr>'BET-S(5)LCE'!_ftnref1</vt:lpstr>
      <vt:lpstr>'All-in-1-sheet'!_ftnref2</vt:lpstr>
      <vt:lpstr>'BET-S(5)LCE'!_ftnref2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Smith</dc:creator>
  <cp:keywords/>
  <dc:description/>
  <cp:lastModifiedBy>Tan, Zhenyu</cp:lastModifiedBy>
  <cp:revision/>
  <dcterms:created xsi:type="dcterms:W3CDTF">2025-12-29T08:37:33Z</dcterms:created>
  <dcterms:modified xsi:type="dcterms:W3CDTF">2026-07-23T22:38:38Z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0x010100C68EE3C78E009C42948420FEB1FB0E21</vt:lpwstr>
  </property>
  <property fmtid="{D5CDD505-2E9C-101B-9397-08002B2CF9AE}" pid="3" name="_dlc_DocIdItemGuid">
    <vt:lpwstr>71d298f7-be0c-49fd-bd7f-275d0ec093a4</vt:lpwstr>
  </property>
  <property fmtid="{D5CDD505-2E9C-101B-9397-08002B2CF9AE}" pid="4" name="MediaServiceImageTags">
    <vt:lpwstr/>
  </property>
</Properties>
</file>